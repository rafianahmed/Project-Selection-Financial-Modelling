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ni\Desktop\Excel Corp Fin\Exercise Files\"/>
    </mc:Choice>
  </mc:AlternateContent>
  <xr:revisionPtr revIDLastSave="0" documentId="8_{D183BBD2-AFFF-4D34-848B-C7E92CF5E24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h2" sheetId="4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" l="1"/>
  <c r="B2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K14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F9" i="4"/>
  <c r="K2" i="4"/>
  <c r="K3" i="4"/>
  <c r="K4" i="4"/>
  <c r="K5" i="4"/>
  <c r="K6" i="4"/>
  <c r="K7" i="4"/>
  <c r="K8" i="4"/>
  <c r="K9" i="4"/>
  <c r="K10" i="4"/>
  <c r="K11" i="4"/>
  <c r="K12" i="4"/>
  <c r="K13" i="4"/>
</calcChain>
</file>

<file path=xl/sharedStrings.xml><?xml version="1.0" encoding="utf-8"?>
<sst xmlns="http://schemas.openxmlformats.org/spreadsheetml/2006/main" count="38" uniqueCount="37">
  <si>
    <t>Year</t>
  </si>
  <si>
    <t>Cash Flow</t>
  </si>
  <si>
    <t>Discounted Value</t>
  </si>
  <si>
    <t>Assumptions</t>
  </si>
  <si>
    <t>Month</t>
  </si>
  <si>
    <t>Revenues</t>
  </si>
  <si>
    <t>Costs</t>
  </si>
  <si>
    <t>Land Value</t>
  </si>
  <si>
    <t>January</t>
  </si>
  <si>
    <t>Land Appreciation</t>
  </si>
  <si>
    <t>February</t>
  </si>
  <si>
    <t>Rental Rate Increase</t>
  </si>
  <si>
    <t>March</t>
  </si>
  <si>
    <t>April</t>
  </si>
  <si>
    <t>May</t>
  </si>
  <si>
    <t>June</t>
  </si>
  <si>
    <t>July</t>
  </si>
  <si>
    <t>Value of Property/Sum of Discounted Cash Flows</t>
  </si>
  <si>
    <t>August</t>
  </si>
  <si>
    <t>September</t>
  </si>
  <si>
    <t>October</t>
  </si>
  <si>
    <t>November</t>
  </si>
  <si>
    <t>December</t>
  </si>
  <si>
    <t>Year Total</t>
  </si>
  <si>
    <t>ASSUMPTIONS</t>
  </si>
  <si>
    <t>Student Rent</t>
  </si>
  <si>
    <t>Bedrooms</t>
  </si>
  <si>
    <t>Property Tax Rate</t>
  </si>
  <si>
    <t>Assessed Value Discount</t>
  </si>
  <si>
    <t>Market Value</t>
  </si>
  <si>
    <t>Discount Rate</t>
  </si>
  <si>
    <t>Occupancy Rate</t>
  </si>
  <si>
    <t>Summer Weekend Rent</t>
  </si>
  <si>
    <t>Utilities/month</t>
  </si>
  <si>
    <t>Upgrades/Maintenance (per month)</t>
  </si>
  <si>
    <t>NPV</t>
  </si>
  <si>
    <t>Weighted Avg Cost of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</si>
</sst>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Helv"/>
    </font>
    <font>
      <sz val="10"/>
      <name val="Helv"/>
    </font>
    <font>
      <sz val="9"/>
      <name val="Helv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mediumGray">
        <fgColor indexed="22"/>
        <bgColor indexed="22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3" fontId="2" fillId="0" borderId="0">
      <protection locked="0"/>
    </xf>
    <xf numFmtId="43" fontId="1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3" fillId="0" borderId="0" applyProtection="0"/>
    <xf numFmtId="0" fontId="4" fillId="2" borderId="0" applyNumberFormat="0" applyFont="0" applyBorder="0" applyAlignment="0" applyProtection="0"/>
    <xf numFmtId="0" fontId="1" fillId="0" borderId="0"/>
  </cellStyleXfs>
  <cellXfs count="24">
    <xf numFmtId="0" fontId="0" fillId="0" borderId="0" xfId="0"/>
    <xf numFmtId="8" fontId="0" fillId="0" borderId="0" xfId="0" applyNumberFormat="1"/>
    <xf numFmtId="0" fontId="6" fillId="0" borderId="0" xfId="0" applyFont="1"/>
    <xf numFmtId="8" fontId="7" fillId="0" borderId="0" xfId="0" applyNumberFormat="1" applyFont="1"/>
    <xf numFmtId="9" fontId="6" fillId="0" borderId="0" xfId="0" applyNumberFormat="1" applyFont="1"/>
    <xf numFmtId="0" fontId="0" fillId="0" borderId="1" xfId="0" applyBorder="1"/>
    <xf numFmtId="8" fontId="0" fillId="0" borderId="2" xfId="0" applyNumberFormat="1" applyBorder="1"/>
    <xf numFmtId="0" fontId="10" fillId="0" borderId="1" xfId="0" applyFont="1" applyBorder="1" applyAlignment="1">
      <alignment wrapText="1"/>
    </xf>
    <xf numFmtId="0" fontId="10" fillId="0" borderId="0" xfId="0" applyFont="1"/>
    <xf numFmtId="0" fontId="11" fillId="0" borderId="0" xfId="0" applyFont="1"/>
    <xf numFmtId="9" fontId="11" fillId="0" borderId="0" xfId="0" applyNumberFormat="1" applyFont="1"/>
    <xf numFmtId="8" fontId="11" fillId="0" borderId="0" xfId="0" applyNumberFormat="1" applyFont="1"/>
    <xf numFmtId="0" fontId="5" fillId="0" borderId="0" xfId="0" applyFont="1"/>
    <xf numFmtId="10" fontId="11" fillId="0" borderId="0" xfId="0" applyNumberFormat="1" applyFont="1"/>
    <xf numFmtId="8" fontId="12" fillId="0" borderId="0" xfId="0" applyNumberFormat="1" applyFont="1"/>
    <xf numFmtId="0" fontId="13" fillId="0" borderId="0" xfId="0" applyFont="1"/>
    <xf numFmtId="8" fontId="9" fillId="0" borderId="3" xfId="0" applyNumberFormat="1" applyFont="1" applyBorder="1"/>
    <xf numFmtId="8" fontId="7" fillId="0" borderId="2" xfId="0" applyNumberFormat="1" applyFont="1" applyBorder="1"/>
    <xf numFmtId="0" fontId="8" fillId="0" borderId="0" xfId="0" applyFont="1"/>
    <xf numFmtId="8" fontId="5" fillId="0" borderId="0" xfId="0" applyNumberFormat="1" applyFont="1"/>
    <xf numFmtId="0" fontId="5" fillId="0" borderId="4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8" fontId="5" fillId="0" borderId="5" xfId="0" applyNumberFormat="1" applyFont="1" applyBorder="1"/>
  </cellXfs>
  <cellStyles count="10">
    <cellStyle name="Bold" xfId="1" xr:uid="{00000000-0005-0000-0000-000000000000}"/>
    <cellStyle name="Comma 2" xfId="2" xr:uid="{00000000-0005-0000-0000-000001000000}"/>
    <cellStyle name="Comma1" xfId="3" xr:uid="{00000000-0005-0000-0000-000002000000}"/>
    <cellStyle name="Currency 2" xfId="4" xr:uid="{00000000-0005-0000-0000-000003000000}"/>
    <cellStyle name="Normal" xfId="0" builtinId="0"/>
    <cellStyle name="Normal 2" xfId="5" xr:uid="{00000000-0005-0000-0000-000005000000}"/>
    <cellStyle name="Percent 2" xfId="6" xr:uid="{00000000-0005-0000-0000-000006000000}"/>
    <cellStyle name="Percent1" xfId="7" xr:uid="{00000000-0005-0000-0000-000007000000}"/>
    <cellStyle name="Shade" xfId="8" xr:uid="{00000000-0005-0000-0000-000008000000}"/>
    <cellStyle name="Style 1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F7" sqref="F7"/>
    </sheetView>
  </sheetViews>
  <sheetFormatPr defaultRowHeight="15" x14ac:dyDescent="0.25"/>
  <cols>
    <col min="2" max="2" width="14.28515625" bestFit="1" customWidth="1"/>
    <col min="3" max="3" width="16.7109375" bestFit="1" customWidth="1"/>
    <col min="5" max="5" width="24.7109375" customWidth="1"/>
    <col min="6" max="6" width="13.7109375" bestFit="1" customWidth="1"/>
    <col min="8" max="8" width="30.5703125" bestFit="1" customWidth="1"/>
    <col min="9" max="9" width="13.7109375" bestFit="1" customWidth="1"/>
    <col min="10" max="11" width="11" bestFit="1" customWidth="1"/>
  </cols>
  <sheetData>
    <row r="1" spans="1:11" s="12" customFormat="1" x14ac:dyDescent="0.25">
      <c r="A1" s="12" t="s">
        <v>0</v>
      </c>
      <c r="B1" s="12" t="s">
        <v>1</v>
      </c>
      <c r="C1" s="12" t="s">
        <v>2</v>
      </c>
      <c r="E1" s="12" t="s">
        <v>3</v>
      </c>
      <c r="H1" s="15" t="s">
        <v>4</v>
      </c>
      <c r="I1" s="15" t="s">
        <v>5</v>
      </c>
      <c r="J1" s="15" t="s">
        <v>6</v>
      </c>
      <c r="K1" s="15" t="s">
        <v>1</v>
      </c>
    </row>
    <row r="2" spans="1:11" x14ac:dyDescent="0.25">
      <c r="A2" s="12">
        <v>0</v>
      </c>
      <c r="B2" s="19">
        <f>-I24</f>
        <v>-950000</v>
      </c>
      <c r="C2" s="12"/>
      <c r="E2" s="9" t="s">
        <v>7</v>
      </c>
      <c r="F2" s="11">
        <v>700000</v>
      </c>
      <c r="H2" t="s">
        <v>8</v>
      </c>
      <c r="I2" s="3">
        <f>$I$19*$I$18</f>
        <v>4000</v>
      </c>
      <c r="J2" s="3">
        <f>$I$26+(($I$24*$I$23*$I$22)/12)</f>
        <v>2439.5833333333339</v>
      </c>
      <c r="K2" s="1">
        <f>I2-J2</f>
        <v>1560.4166666666661</v>
      </c>
    </row>
    <row r="3" spans="1:11" x14ac:dyDescent="0.25">
      <c r="A3">
        <v>1</v>
      </c>
      <c r="B3" s="3">
        <f>K14</f>
        <v>24049.999999999985</v>
      </c>
      <c r="C3" s="3">
        <f>(B3)/((1+$F$5)^A3)</f>
        <v>22688.679245283005</v>
      </c>
      <c r="E3" s="9" t="s">
        <v>9</v>
      </c>
      <c r="F3" s="10">
        <v>0.04</v>
      </c>
      <c r="H3" t="s">
        <v>10</v>
      </c>
      <c r="I3" s="3">
        <f>$I$19*$I$18</f>
        <v>4000</v>
      </c>
      <c r="J3" s="3">
        <f>$I$26+(($I$24*$I$23*$I$22)/12)</f>
        <v>2439.5833333333339</v>
      </c>
      <c r="K3" s="1">
        <f t="shared" ref="K3:K14" si="0">I3-J3</f>
        <v>1560.4166666666661</v>
      </c>
    </row>
    <row r="4" spans="1:11" x14ac:dyDescent="0.25">
      <c r="A4">
        <v>2</v>
      </c>
      <c r="B4" s="3">
        <f>B3*(1+$F$4)</f>
        <v>25011.999999999985</v>
      </c>
      <c r="C4" s="3">
        <f>(B4)/((1+$F$5)^A4)</f>
        <v>22260.590957636152</v>
      </c>
      <c r="E4" s="9" t="s">
        <v>11</v>
      </c>
      <c r="F4" s="10">
        <v>0.04</v>
      </c>
      <c r="H4" t="s">
        <v>12</v>
      </c>
      <c r="I4" s="3">
        <f>$I$19*$I$18</f>
        <v>4000</v>
      </c>
      <c r="J4" s="3">
        <f>$I$26+(($I$24*$I$23*$I$22)/12)</f>
        <v>2439.5833333333339</v>
      </c>
      <c r="K4" s="1">
        <f t="shared" si="0"/>
        <v>1560.4166666666661</v>
      </c>
    </row>
    <row r="5" spans="1:11" x14ac:dyDescent="0.25">
      <c r="A5">
        <v>3</v>
      </c>
      <c r="B5" s="3">
        <f t="shared" ref="B5:B62" si="1">B4*(1+$F$4)</f>
        <v>26012.479999999985</v>
      </c>
      <c r="C5" s="3">
        <f t="shared" ref="C5:C62" si="2">(B5)/((1+$F$5)^A5)</f>
        <v>21840.579807492071</v>
      </c>
      <c r="E5" s="8" t="s">
        <v>30</v>
      </c>
      <c r="F5" s="13">
        <v>0.06</v>
      </c>
      <c r="H5" t="s">
        <v>13</v>
      </c>
      <c r="I5" s="3">
        <f>$I$19*$I$18</f>
        <v>4000</v>
      </c>
      <c r="J5" s="3">
        <f>$I$26+(($I$24*$I$23*$I$22)/12)</f>
        <v>2439.5833333333339</v>
      </c>
      <c r="K5" s="1">
        <f t="shared" si="0"/>
        <v>1560.4166666666661</v>
      </c>
    </row>
    <row r="6" spans="1:11" x14ac:dyDescent="0.25">
      <c r="A6">
        <v>4</v>
      </c>
      <c r="B6" s="3">
        <f t="shared" si="1"/>
        <v>27052.979199999987</v>
      </c>
      <c r="C6" s="3">
        <f t="shared" si="2"/>
        <v>21428.49339602996</v>
      </c>
      <c r="E6" s="9" t="s">
        <v>36</v>
      </c>
      <c r="F6" s="13">
        <v>0.06</v>
      </c>
      <c r="H6" t="s">
        <v>14</v>
      </c>
      <c r="I6" s="3">
        <f>$I$19*$I$18</f>
        <v>4000</v>
      </c>
      <c r="J6" s="3">
        <f>$I$26+(($I$24*$I$23*$I$22)/12)</f>
        <v>2439.5833333333339</v>
      </c>
      <c r="K6" s="1">
        <f t="shared" si="0"/>
        <v>1560.4166666666661</v>
      </c>
    </row>
    <row r="7" spans="1:11" x14ac:dyDescent="0.25">
      <c r="A7">
        <v>5</v>
      </c>
      <c r="B7" s="3">
        <f t="shared" si="1"/>
        <v>28135.098367999988</v>
      </c>
      <c r="C7" s="3">
        <f t="shared" si="2"/>
        <v>21024.182199878451</v>
      </c>
      <c r="E7" s="2"/>
      <c r="F7" s="4"/>
      <c r="H7" t="s">
        <v>15</v>
      </c>
      <c r="I7" s="3">
        <f>$I$20*4.25</f>
        <v>6375</v>
      </c>
      <c r="J7" s="3">
        <f>$I$26+(($I$24*$I$23*$I$22)/12)+$I$25</f>
        <v>3039.5833333333339</v>
      </c>
      <c r="K7" s="1">
        <f t="shared" si="0"/>
        <v>3335.4166666666661</v>
      </c>
    </row>
    <row r="8" spans="1:11" ht="15.75" thickBot="1" x14ac:dyDescent="0.3">
      <c r="A8">
        <v>6</v>
      </c>
      <c r="B8" s="3">
        <f t="shared" si="1"/>
        <v>29260.50230271999</v>
      </c>
      <c r="C8" s="3">
        <f t="shared" si="2"/>
        <v>20627.499516861877</v>
      </c>
      <c r="H8" t="s">
        <v>16</v>
      </c>
      <c r="I8" s="3">
        <f>$I$20*4.25</f>
        <v>6375</v>
      </c>
      <c r="J8" s="3">
        <f>$I$26+(($I$24*$I$23*$I$22)/12)+$I$25</f>
        <v>3039.5833333333339</v>
      </c>
      <c r="K8" s="1">
        <f t="shared" si="0"/>
        <v>3335.4166666666661</v>
      </c>
    </row>
    <row r="9" spans="1:11" ht="30.75" thickBot="1" x14ac:dyDescent="0.3">
      <c r="A9">
        <v>7</v>
      </c>
      <c r="B9" s="3">
        <f t="shared" si="1"/>
        <v>30430.922394828791</v>
      </c>
      <c r="C9" s="3">
        <f t="shared" si="2"/>
        <v>20238.301412770143</v>
      </c>
      <c r="E9" s="7" t="s">
        <v>17</v>
      </c>
      <c r="F9" s="17">
        <f>SUM(C3:C63)</f>
        <v>1038043.1645134619</v>
      </c>
      <c r="H9" t="s">
        <v>18</v>
      </c>
      <c r="I9" s="3">
        <f>$I$20*4.25</f>
        <v>6375</v>
      </c>
      <c r="J9" s="3">
        <f>$I$26+(($I$24*$I$23*$I$22)/12)+$I$25</f>
        <v>3039.5833333333339</v>
      </c>
      <c r="K9" s="1">
        <f t="shared" si="0"/>
        <v>3335.4166666666661</v>
      </c>
    </row>
    <row r="10" spans="1:11" ht="15.75" thickBot="1" x14ac:dyDescent="0.3">
      <c r="A10">
        <v>8</v>
      </c>
      <c r="B10" s="3">
        <f t="shared" si="1"/>
        <v>31648.159290621945</v>
      </c>
      <c r="C10" s="3">
        <f t="shared" si="2"/>
        <v>19856.446669132973</v>
      </c>
      <c r="H10" t="s">
        <v>19</v>
      </c>
      <c r="I10" s="3">
        <f>$I$19*$I$18</f>
        <v>4000</v>
      </c>
      <c r="J10" s="3">
        <f>$I$26+(($I$24*$I$23*$I$22)/12)</f>
        <v>2439.5833333333339</v>
      </c>
      <c r="K10" s="1">
        <f t="shared" si="0"/>
        <v>1560.4166666666661</v>
      </c>
    </row>
    <row r="11" spans="1:11" x14ac:dyDescent="0.25">
      <c r="A11">
        <v>9</v>
      </c>
      <c r="B11" s="3">
        <f t="shared" si="1"/>
        <v>32914.085662246827</v>
      </c>
      <c r="C11" s="3">
        <f t="shared" si="2"/>
        <v>19481.796731979524</v>
      </c>
      <c r="E11" s="20" t="s">
        <v>35</v>
      </c>
      <c r="F11" s="23">
        <f>NPV(F6,B2:B63)</f>
        <v>83059.589163643148</v>
      </c>
      <c r="H11" t="s">
        <v>20</v>
      </c>
      <c r="I11" s="3">
        <f>$I$19*$I$18</f>
        <v>4000</v>
      </c>
      <c r="J11" s="3">
        <f>$I$26+(($I$24*$I$23*$I$22)/12)</f>
        <v>2439.5833333333339</v>
      </c>
      <c r="K11" s="1">
        <f t="shared" si="0"/>
        <v>1560.4166666666661</v>
      </c>
    </row>
    <row r="12" spans="1:11" ht="15.75" thickBot="1" x14ac:dyDescent="0.3">
      <c r="A12">
        <v>10</v>
      </c>
      <c r="B12" s="3">
        <f t="shared" si="1"/>
        <v>34230.649088736704</v>
      </c>
      <c r="C12" s="3">
        <f t="shared" si="2"/>
        <v>19114.215661564816</v>
      </c>
      <c r="E12" s="21"/>
      <c r="F12" s="22"/>
      <c r="H12" t="s">
        <v>21</v>
      </c>
      <c r="I12" s="3">
        <f>$I$19*$I$18</f>
        <v>4000</v>
      </c>
      <c r="J12" s="3">
        <f>$I$26+(($I$24*$I$23*$I$22)/12)</f>
        <v>2439.5833333333339</v>
      </c>
      <c r="K12" s="1">
        <f t="shared" si="0"/>
        <v>1560.4166666666661</v>
      </c>
    </row>
    <row r="13" spans="1:11" ht="15.75" thickBot="1" x14ac:dyDescent="0.3">
      <c r="A13">
        <v>11</v>
      </c>
      <c r="B13" s="3">
        <f t="shared" si="1"/>
        <v>35599.875052286174</v>
      </c>
      <c r="C13" s="3">
        <f t="shared" si="2"/>
        <v>18753.57008304472</v>
      </c>
      <c r="H13" t="s">
        <v>22</v>
      </c>
      <c r="I13" s="3">
        <f>$I$19*$I$18</f>
        <v>4000</v>
      </c>
      <c r="J13" s="3">
        <f>$I$26+(($I$24*$I$23*$I$22)/12)</f>
        <v>2439.5833333333339</v>
      </c>
      <c r="K13" s="1">
        <f t="shared" si="0"/>
        <v>1560.4166666666661</v>
      </c>
    </row>
    <row r="14" spans="1:11" ht="15.75" thickBot="1" x14ac:dyDescent="0.3">
      <c r="A14">
        <v>12</v>
      </c>
      <c r="B14" s="3">
        <f t="shared" si="1"/>
        <v>37023.870054377621</v>
      </c>
      <c r="C14" s="3">
        <f t="shared" si="2"/>
        <v>18399.729138081613</v>
      </c>
      <c r="H14" s="5" t="s">
        <v>23</v>
      </c>
      <c r="I14" s="16">
        <f>SUM(I2:I13)</f>
        <v>55125</v>
      </c>
      <c r="J14" s="16">
        <f>SUM(J2:J13)</f>
        <v>31075.000000000015</v>
      </c>
      <c r="K14" s="6">
        <f t="shared" si="0"/>
        <v>24049.999999999985</v>
      </c>
    </row>
    <row r="15" spans="1:11" x14ac:dyDescent="0.25">
      <c r="A15">
        <v>13</v>
      </c>
      <c r="B15" s="3">
        <f t="shared" si="1"/>
        <v>38504.824856552725</v>
      </c>
      <c r="C15" s="3">
        <f t="shared" si="2"/>
        <v>18052.564437363089</v>
      </c>
      <c r="I15" s="1"/>
    </row>
    <row r="16" spans="1:11" x14ac:dyDescent="0.25">
      <c r="A16">
        <v>14</v>
      </c>
      <c r="B16" s="3">
        <f t="shared" si="1"/>
        <v>40045.017850814838</v>
      </c>
      <c r="C16" s="3">
        <f t="shared" si="2"/>
        <v>17711.95001401662</v>
      </c>
      <c r="H16" s="18" t="s">
        <v>24</v>
      </c>
      <c r="I16" s="18"/>
    </row>
    <row r="17" spans="1:9" x14ac:dyDescent="0.25">
      <c r="A17">
        <v>15</v>
      </c>
      <c r="B17" s="3">
        <f t="shared" si="1"/>
        <v>41646.818564847432</v>
      </c>
      <c r="C17" s="3">
        <f t="shared" si="2"/>
        <v>17377.762277903093</v>
      </c>
      <c r="H17" s="9" t="s">
        <v>31</v>
      </c>
      <c r="I17" s="10">
        <v>0.6</v>
      </c>
    </row>
    <row r="18" spans="1:9" x14ac:dyDescent="0.25">
      <c r="A18">
        <v>16</v>
      </c>
      <c r="B18" s="3">
        <f t="shared" si="1"/>
        <v>43312.691307441331</v>
      </c>
      <c r="C18" s="3">
        <f t="shared" si="2"/>
        <v>17049.87997077285</v>
      </c>
      <c r="H18" s="9" t="s">
        <v>25</v>
      </c>
      <c r="I18" s="11">
        <v>1000</v>
      </c>
    </row>
    <row r="19" spans="1:9" x14ac:dyDescent="0.25">
      <c r="A19">
        <v>17</v>
      </c>
      <c r="B19" s="3">
        <f t="shared" si="1"/>
        <v>45045.198959738984</v>
      </c>
      <c r="C19" s="3">
        <f t="shared" si="2"/>
        <v>16728.184122267699</v>
      </c>
      <c r="H19" s="9" t="s">
        <v>26</v>
      </c>
      <c r="I19" s="9">
        <v>4</v>
      </c>
    </row>
    <row r="20" spans="1:9" x14ac:dyDescent="0.25">
      <c r="A20">
        <v>18</v>
      </c>
      <c r="B20" s="3">
        <f t="shared" si="1"/>
        <v>46847.006918128543</v>
      </c>
      <c r="C20" s="3">
        <f t="shared" si="2"/>
        <v>16412.558006753217</v>
      </c>
      <c r="H20" s="9" t="s">
        <v>32</v>
      </c>
      <c r="I20" s="11">
        <v>1500</v>
      </c>
    </row>
    <row r="21" spans="1:9" x14ac:dyDescent="0.25">
      <c r="A21">
        <v>19</v>
      </c>
      <c r="B21" s="3">
        <f t="shared" si="1"/>
        <v>48720.887194853683</v>
      </c>
      <c r="C21" s="3">
        <f t="shared" si="2"/>
        <v>16102.887100965418</v>
      </c>
      <c r="H21" s="12"/>
      <c r="I21" s="12"/>
    </row>
    <row r="22" spans="1:9" x14ac:dyDescent="0.25">
      <c r="A22">
        <v>20</v>
      </c>
      <c r="B22" s="3">
        <f t="shared" si="1"/>
        <v>50669.722682647829</v>
      </c>
      <c r="C22" s="3">
        <f t="shared" si="2"/>
        <v>15799.059042456636</v>
      </c>
      <c r="H22" s="9" t="s">
        <v>27</v>
      </c>
      <c r="I22" s="13">
        <v>3.5000000000000003E-2</v>
      </c>
    </row>
    <row r="23" spans="1:9" x14ac:dyDescent="0.25">
      <c r="A23">
        <v>21</v>
      </c>
      <c r="B23" s="3">
        <f t="shared" si="1"/>
        <v>52696.511589953741</v>
      </c>
      <c r="C23" s="3">
        <f t="shared" si="2"/>
        <v>15500.963588825376</v>
      </c>
      <c r="H23" s="9" t="s">
        <v>28</v>
      </c>
      <c r="I23" s="10">
        <v>0.7</v>
      </c>
    </row>
    <row r="24" spans="1:9" x14ac:dyDescent="0.25">
      <c r="A24">
        <v>22</v>
      </c>
      <c r="B24" s="3">
        <f t="shared" si="1"/>
        <v>54804.372053551895</v>
      </c>
      <c r="C24" s="3">
        <f t="shared" si="2"/>
        <v>15208.492577715462</v>
      </c>
      <c r="H24" s="9" t="s">
        <v>29</v>
      </c>
      <c r="I24" s="14">
        <v>950000</v>
      </c>
    </row>
    <row r="25" spans="1:9" x14ac:dyDescent="0.25">
      <c r="A25">
        <v>23</v>
      </c>
      <c r="B25" s="3">
        <f t="shared" si="1"/>
        <v>56996.546935693972</v>
      </c>
      <c r="C25" s="3">
        <f t="shared" si="2"/>
        <v>14921.539887569887</v>
      </c>
      <c r="H25" s="9" t="s">
        <v>33</v>
      </c>
      <c r="I25" s="9">
        <v>600</v>
      </c>
    </row>
    <row r="26" spans="1:9" x14ac:dyDescent="0.25">
      <c r="A26">
        <v>24</v>
      </c>
      <c r="B26" s="3">
        <f t="shared" si="1"/>
        <v>59276.408813121736</v>
      </c>
      <c r="C26" s="3">
        <f t="shared" si="2"/>
        <v>14640.001399125174</v>
      </c>
      <c r="H26" s="9" t="s">
        <v>34</v>
      </c>
      <c r="I26" s="9">
        <v>500</v>
      </c>
    </row>
    <row r="27" spans="1:9" x14ac:dyDescent="0.25">
      <c r="A27">
        <v>25</v>
      </c>
      <c r="B27" s="3">
        <f t="shared" si="1"/>
        <v>61647.465165646609</v>
      </c>
      <c r="C27" s="3">
        <f t="shared" si="2"/>
        <v>14363.774957632248</v>
      </c>
    </row>
    <row r="28" spans="1:9" x14ac:dyDescent="0.25">
      <c r="A28">
        <v>26</v>
      </c>
      <c r="B28" s="3">
        <f t="shared" si="1"/>
        <v>64113.363772272474</v>
      </c>
      <c r="C28" s="3">
        <f t="shared" si="2"/>
        <v>14092.76033579013</v>
      </c>
    </row>
    <row r="29" spans="1:9" x14ac:dyDescent="0.25">
      <c r="A29">
        <v>27</v>
      </c>
      <c r="B29" s="3">
        <f t="shared" si="1"/>
        <v>66677.898323163376</v>
      </c>
      <c r="C29" s="3">
        <f t="shared" si="2"/>
        <v>13826.859197378993</v>
      </c>
    </row>
    <row r="30" spans="1:9" x14ac:dyDescent="0.25">
      <c r="A30">
        <v>28</v>
      </c>
      <c r="B30" s="3">
        <f t="shared" si="1"/>
        <v>69345.014256089911</v>
      </c>
      <c r="C30" s="3">
        <f t="shared" si="2"/>
        <v>13565.975061579389</v>
      </c>
    </row>
    <row r="31" spans="1:9" x14ac:dyDescent="0.25">
      <c r="A31">
        <v>29</v>
      </c>
      <c r="B31" s="3">
        <f t="shared" si="1"/>
        <v>72118.814826333517</v>
      </c>
      <c r="C31" s="3">
        <f t="shared" si="2"/>
        <v>13310.013267964685</v>
      </c>
    </row>
    <row r="32" spans="1:9" x14ac:dyDescent="0.25">
      <c r="A32">
        <v>30</v>
      </c>
      <c r="B32" s="3">
        <f t="shared" si="1"/>
        <v>75003.567419386862</v>
      </c>
      <c r="C32" s="3">
        <f t="shared" si="2"/>
        <v>13058.88094215403</v>
      </c>
    </row>
    <row r="33" spans="1:3" x14ac:dyDescent="0.25">
      <c r="A33">
        <v>31</v>
      </c>
      <c r="B33" s="3">
        <f t="shared" si="1"/>
        <v>78003.710116162343</v>
      </c>
      <c r="C33" s="3">
        <f t="shared" si="2"/>
        <v>12812.486962113386</v>
      </c>
    </row>
    <row r="34" spans="1:3" x14ac:dyDescent="0.25">
      <c r="A34">
        <v>32</v>
      </c>
      <c r="B34" s="3">
        <f t="shared" si="1"/>
        <v>81123.858520808833</v>
      </c>
      <c r="C34" s="3">
        <f t="shared" si="2"/>
        <v>12570.741925092381</v>
      </c>
    </row>
    <row r="35" spans="1:3" x14ac:dyDescent="0.25">
      <c r="A35">
        <v>33</v>
      </c>
      <c r="B35" s="3">
        <f t="shared" si="1"/>
        <v>84368.812861641185</v>
      </c>
      <c r="C35" s="3">
        <f t="shared" si="2"/>
        <v>12333.558115184976</v>
      </c>
    </row>
    <row r="36" spans="1:3" x14ac:dyDescent="0.25">
      <c r="A36">
        <v>34</v>
      </c>
      <c r="B36" s="3">
        <f t="shared" si="1"/>
        <v>87743.565376106839</v>
      </c>
      <c r="C36" s="3">
        <f t="shared" si="2"/>
        <v>12100.849471502241</v>
      </c>
    </row>
    <row r="37" spans="1:3" x14ac:dyDescent="0.25">
      <c r="A37">
        <v>35</v>
      </c>
      <c r="B37" s="3">
        <f t="shared" si="1"/>
        <v>91253.307991151116</v>
      </c>
      <c r="C37" s="3">
        <f t="shared" si="2"/>
        <v>11872.531556945594</v>
      </c>
    </row>
    <row r="38" spans="1:3" x14ac:dyDescent="0.25">
      <c r="A38">
        <v>36</v>
      </c>
      <c r="B38" s="3">
        <f t="shared" si="1"/>
        <v>94903.440310797159</v>
      </c>
      <c r="C38" s="3">
        <f t="shared" si="2"/>
        <v>11648.521527569263</v>
      </c>
    </row>
    <row r="39" spans="1:3" x14ac:dyDescent="0.25">
      <c r="A39">
        <v>37</v>
      </c>
      <c r="B39" s="3">
        <f t="shared" si="1"/>
        <v>98699.577923229052</v>
      </c>
      <c r="C39" s="3">
        <f t="shared" si="2"/>
        <v>11428.738102520785</v>
      </c>
    </row>
    <row r="40" spans="1:3" x14ac:dyDescent="0.25">
      <c r="A40">
        <v>38</v>
      </c>
      <c r="B40" s="3">
        <f t="shared" si="1"/>
        <v>102647.56104015822</v>
      </c>
      <c r="C40" s="3">
        <f t="shared" si="2"/>
        <v>11213.101534548694</v>
      </c>
    </row>
    <row r="41" spans="1:3" x14ac:dyDescent="0.25">
      <c r="A41">
        <v>39</v>
      </c>
      <c r="B41" s="3">
        <f t="shared" si="1"/>
        <v>106753.46348176456</v>
      </c>
      <c r="C41" s="3">
        <f t="shared" si="2"/>
        <v>11001.533581066642</v>
      </c>
    </row>
    <row r="42" spans="1:3" x14ac:dyDescent="0.25">
      <c r="A42">
        <v>40</v>
      </c>
      <c r="B42" s="3">
        <f t="shared" si="1"/>
        <v>111023.60202103514</v>
      </c>
      <c r="C42" s="3">
        <f t="shared" si="2"/>
        <v>10793.9574757635</v>
      </c>
    </row>
    <row r="43" spans="1:3" x14ac:dyDescent="0.25">
      <c r="A43">
        <v>41</v>
      </c>
      <c r="B43" s="3">
        <f t="shared" si="1"/>
        <v>115464.54610187655</v>
      </c>
      <c r="C43" s="3">
        <f t="shared" si="2"/>
        <v>10590.297900749096</v>
      </c>
    </row>
    <row r="44" spans="1:3" x14ac:dyDescent="0.25">
      <c r="A44">
        <v>42</v>
      </c>
      <c r="B44" s="3">
        <f t="shared" si="1"/>
        <v>120083.12794595161</v>
      </c>
      <c r="C44" s="3">
        <f t="shared" si="2"/>
        <v>10390.480959225526</v>
      </c>
    </row>
    <row r="45" spans="1:3" x14ac:dyDescent="0.25">
      <c r="A45">
        <v>43</v>
      </c>
      <c r="B45" s="3">
        <f t="shared" si="1"/>
        <v>124886.45306378968</v>
      </c>
      <c r="C45" s="3">
        <f t="shared" si="2"/>
        <v>10194.4341486741</v>
      </c>
    </row>
    <row r="46" spans="1:3" x14ac:dyDescent="0.25">
      <c r="A46">
        <v>44</v>
      </c>
      <c r="B46" s="3">
        <f t="shared" si="1"/>
        <v>129881.91118634127</v>
      </c>
      <c r="C46" s="3">
        <f t="shared" si="2"/>
        <v>10002.086334548172</v>
      </c>
    </row>
    <row r="47" spans="1:3" x14ac:dyDescent="0.25">
      <c r="A47">
        <v>45</v>
      </c>
      <c r="B47" s="3">
        <f t="shared" si="1"/>
        <v>135077.18763379494</v>
      </c>
      <c r="C47" s="3">
        <f t="shared" si="2"/>
        <v>9813.3677244623595</v>
      </c>
    </row>
    <row r="48" spans="1:3" x14ac:dyDescent="0.25">
      <c r="A48">
        <v>46</v>
      </c>
      <c r="B48" s="3">
        <f t="shared" si="1"/>
        <v>140480.27513914675</v>
      </c>
      <c r="C48" s="3">
        <f t="shared" si="2"/>
        <v>9628.2098428687295</v>
      </c>
    </row>
    <row r="49" spans="1:3" x14ac:dyDescent="0.25">
      <c r="A49">
        <v>47</v>
      </c>
      <c r="B49" s="3">
        <f t="shared" si="1"/>
        <v>146099.48614471263</v>
      </c>
      <c r="C49" s="3">
        <f t="shared" si="2"/>
        <v>9446.5455062108285</v>
      </c>
    </row>
    <row r="50" spans="1:3" x14ac:dyDescent="0.25">
      <c r="A50">
        <v>48</v>
      </c>
      <c r="B50" s="3">
        <f t="shared" si="1"/>
        <v>151943.46559050115</v>
      </c>
      <c r="C50" s="3">
        <f t="shared" si="2"/>
        <v>9268.3087985464754</v>
      </c>
    </row>
    <row r="51" spans="1:3" x14ac:dyDescent="0.25">
      <c r="A51">
        <v>49</v>
      </c>
      <c r="B51" s="3">
        <f t="shared" si="1"/>
        <v>158021.20421412119</v>
      </c>
      <c r="C51" s="3">
        <f t="shared" si="2"/>
        <v>9093.4350476305026</v>
      </c>
    </row>
    <row r="52" spans="1:3" x14ac:dyDescent="0.25">
      <c r="A52">
        <v>50</v>
      </c>
      <c r="B52" s="3">
        <f t="shared" si="1"/>
        <v>164342.05238268603</v>
      </c>
      <c r="C52" s="3">
        <f t="shared" si="2"/>
        <v>8921.8608014487963</v>
      </c>
    </row>
    <row r="53" spans="1:3" x14ac:dyDescent="0.25">
      <c r="A53">
        <v>51</v>
      </c>
      <c r="B53" s="3">
        <f t="shared" si="1"/>
        <v>170915.73447799348</v>
      </c>
      <c r="C53" s="3">
        <f t="shared" si="2"/>
        <v>8753.5238051950437</v>
      </c>
    </row>
    <row r="54" spans="1:3" x14ac:dyDescent="0.25">
      <c r="A54">
        <v>52</v>
      </c>
      <c r="B54" s="3">
        <f t="shared" si="1"/>
        <v>177752.36385711323</v>
      </c>
      <c r="C54" s="3">
        <f t="shared" si="2"/>
        <v>8588.3629786819311</v>
      </c>
    </row>
    <row r="55" spans="1:3" x14ac:dyDescent="0.25">
      <c r="A55">
        <v>53</v>
      </c>
      <c r="B55" s="3">
        <f t="shared" si="1"/>
        <v>184862.45841139776</v>
      </c>
      <c r="C55" s="3">
        <f t="shared" si="2"/>
        <v>8426.3183941784955</v>
      </c>
    </row>
    <row r="56" spans="1:3" x14ac:dyDescent="0.25">
      <c r="A56">
        <v>54</v>
      </c>
      <c r="B56" s="3">
        <f t="shared" si="1"/>
        <v>192256.95674785369</v>
      </c>
      <c r="C56" s="3">
        <f t="shared" si="2"/>
        <v>8267.3312546656944</v>
      </c>
    </row>
    <row r="57" spans="1:3" x14ac:dyDescent="0.25">
      <c r="A57">
        <v>55</v>
      </c>
      <c r="B57" s="3">
        <f t="shared" si="1"/>
        <v>199947.23501776785</v>
      </c>
      <c r="C57" s="3">
        <f t="shared" si="2"/>
        <v>8111.3438725021906</v>
      </c>
    </row>
    <row r="58" spans="1:3" x14ac:dyDescent="0.25">
      <c r="A58">
        <v>56</v>
      </c>
      <c r="B58" s="3">
        <f t="shared" si="1"/>
        <v>207945.12441847858</v>
      </c>
      <c r="C58" s="3">
        <f t="shared" si="2"/>
        <v>7958.2996484927171</v>
      </c>
    </row>
    <row r="59" spans="1:3" x14ac:dyDescent="0.25">
      <c r="A59">
        <v>57</v>
      </c>
      <c r="B59" s="3">
        <f t="shared" si="1"/>
        <v>216262.92939521774</v>
      </c>
      <c r="C59" s="3">
        <f t="shared" si="2"/>
        <v>7808.143051351346</v>
      </c>
    </row>
    <row r="60" spans="1:3" x14ac:dyDescent="0.25">
      <c r="A60">
        <v>58</v>
      </c>
      <c r="B60" s="3">
        <f t="shared" si="1"/>
        <v>224913.44657102646</v>
      </c>
      <c r="C60" s="3">
        <f t="shared" si="2"/>
        <v>7660.8195975522649</v>
      </c>
    </row>
    <row r="61" spans="1:3" x14ac:dyDescent="0.25">
      <c r="A61">
        <v>59</v>
      </c>
      <c r="B61" s="3">
        <f t="shared" si="1"/>
        <v>233909.98443386753</v>
      </c>
      <c r="C61" s="3">
        <f t="shared" si="2"/>
        <v>7516.2758315607107</v>
      </c>
    </row>
    <row r="62" spans="1:3" x14ac:dyDescent="0.25">
      <c r="A62">
        <v>60</v>
      </c>
      <c r="B62" s="3">
        <f t="shared" si="1"/>
        <v>243266.38381122224</v>
      </c>
      <c r="C62" s="3">
        <f t="shared" si="2"/>
        <v>7374.4593064369246</v>
      </c>
    </row>
    <row r="63" spans="1:3" x14ac:dyDescent="0.25">
      <c r="A63">
        <v>61</v>
      </c>
      <c r="B63" s="3">
        <f>-1*FV(F3,61,0,F2,0)</f>
        <v>7658288.7530624857</v>
      </c>
      <c r="C63" s="3">
        <f>(B63)/((1+$F$5)^A63)</f>
        <v>219015.04844818299</v>
      </c>
    </row>
  </sheetData>
  <mergeCells count="1">
    <mergeCell ref="H16:I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Ch2</vt:lpstr>
    </vt:vector>
  </TitlesOfParts>
  <Company>Fairfield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McDonald, Michael</dc:creator>
  <cp:lastModifiedBy>Michael McDonald</cp:lastModifiedBy>
  <dcterms:created xsi:type="dcterms:W3CDTF">2018-03-13T17:59:50Z</dcterms:created>
  <dcterms:modified xsi:type="dcterms:W3CDTF">2023-07-26T14:41:28Z</dcterms:modified>
</cp:coreProperties>
</file>