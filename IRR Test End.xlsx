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E0289EAB-F6C7-48B8-89DF-91754D999A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18" i="4"/>
  <c r="I2" i="4"/>
  <c r="I3" i="4"/>
  <c r="I4" i="4"/>
  <c r="I5" i="4"/>
  <c r="I6" i="4"/>
  <c r="I10" i="4"/>
  <c r="I11" i="4"/>
  <c r="I12" i="4"/>
  <c r="I13" i="4"/>
  <c r="I7" i="4"/>
  <c r="I8" i="4"/>
  <c r="I9" i="4"/>
  <c r="I14" i="4"/>
  <c r="K1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E16" i="4"/>
  <c r="B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E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F9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<sst xmlns="http://schemas.openxmlformats.org/spreadsheetml/2006/main" count="41" uniqueCount="40">
  <si>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</si>
  <si>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</si>
  <si>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</si>
  <si>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</si>
  <si>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</si>
  <si>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</si>
  <si>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</si>
  <si>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</si>
  <si>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</si>
  <si>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</si>
  <si>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</si>
  <si>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</si>
  <si>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</si>
  <si>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</si>
  <si>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</si>
  <si>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</si>
  <si>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</si>
  <si>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</si>
  <si>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</si>
  <si>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</si>
  <si>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</si>
  <si>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</si>
  <si>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</si>
  <si>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</si>
  <si>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</si>
  <si>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</si>
  <si>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</si>
  <si>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</si>
  <si>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</si>
  <si>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</si>
  <si>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</si>
  <si>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</si>
  <si>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</si>
  <si>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</si>
  <si>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</si>
  <si>
    <t>NPV</t>
  </si>
  <si>
    <t>IRR</t>
  </si>
  <si>
    <t>Project Selection Tests</t>
  </si>
  <si>
    <t>MIRR</t>
  </si>
  <si>
    <t>PBP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</si>
</sst>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29">
    <xf numFmtId="0" fontId="0" fillId="0" borderId="0" xfId="0"/>
    <xf numFmtId="8" fontId="0" fillId="0" borderId="0" xfId="0" applyNumberFormat="1"/>
    <xf numFmtId="0" fontId="7" fillId="0" borderId="0" xfId="0" applyFont="1"/>
    <xf numFmtId="8" fontId="8" fillId="0" borderId="0" xfId="0" applyNumberFormat="1" applyFont="1"/>
    <xf numFmtId="9" fontId="7" fillId="0" borderId="0" xfId="0" applyNumberFormat="1" applyFont="1"/>
    <xf numFmtId="10" fontId="7" fillId="0" borderId="0" xfId="0" applyNumberFormat="1" applyFont="1"/>
    <xf numFmtId="0" fontId="0" fillId="0" borderId="1" xfId="0" applyBorder="1"/>
    <xf numFmtId="8" fontId="0" fillId="0" borderId="2" xfId="0" applyNumberFormat="1" applyBorder="1"/>
    <xf numFmtId="8" fontId="10" fillId="0" borderId="0" xfId="0" applyNumberFormat="1" applyFont="1"/>
    <xf numFmtId="0" fontId="11" fillId="0" borderId="1" xfId="0" applyFont="1" applyBorder="1" applyAlignment="1">
      <alignment wrapText="1"/>
    </xf>
    <xf numFmtId="0" fontId="12" fillId="0" borderId="0" xfId="0" applyFont="1"/>
    <xf numFmtId="9" fontId="12" fillId="0" borderId="0" xfId="0" applyNumberFormat="1" applyFont="1"/>
    <xf numFmtId="8" fontId="12" fillId="0" borderId="0" xfId="0" applyNumberFormat="1" applyFont="1"/>
    <xf numFmtId="0" fontId="6" fillId="0" borderId="0" xfId="0" applyFont="1"/>
    <xf numFmtId="10" fontId="12" fillId="0" borderId="0" xfId="0" applyNumberFormat="1" applyFont="1"/>
    <xf numFmtId="8" fontId="13" fillId="0" borderId="0" xfId="0" applyNumberFormat="1" applyFont="1"/>
    <xf numFmtId="0" fontId="14" fillId="0" borderId="0" xfId="0" applyFont="1"/>
    <xf numFmtId="8" fontId="10" fillId="0" borderId="3" xfId="0" applyNumberFormat="1" applyFont="1" applyBorder="1"/>
    <xf numFmtId="8" fontId="10" fillId="0" borderId="2" xfId="0" applyNumberFormat="1" applyFont="1" applyBorder="1"/>
    <xf numFmtId="8" fontId="6" fillId="0" borderId="0" xfId="0" applyNumberFormat="1" applyFont="1"/>
    <xf numFmtId="8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0" xfId="0" applyFont="1"/>
    <xf numFmtId="10" fontId="6" fillId="0" borderId="4" xfId="0" applyNumberFormat="1" applyFont="1" applyBorder="1" applyAlignment="1">
      <alignment horizontal="center"/>
    </xf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E13" sqref="E13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1" width="11" bestFit="1" customWidth="1"/>
  </cols>
  <sheetData>
    <row r="1" spans="1:11" s="13" customFormat="1" x14ac:dyDescent="0.25">
      <c r="A1" s="13" t="s">
        <v>0</v>
      </c>
      <c r="B1" s="13" t="s">
        <v>1</v>
      </c>
      <c r="C1" s="13" t="s">
        <v>2</v>
      </c>
      <c r="E1" s="13" t="s">
        <v>3</v>
      </c>
      <c r="H1" s="16" t="s">
        <v>4</v>
      </c>
      <c r="I1" s="16" t="s">
        <v>5</v>
      </c>
      <c r="J1" s="16" t="s">
        <v>6</v>
      </c>
      <c r="K1" s="16" t="s">
        <v>1</v>
      </c>
    </row>
    <row r="2" spans="1:11" x14ac:dyDescent="0.25">
      <c r="A2" s="13">
        <v>0</v>
      </c>
      <c r="B2" s="19">
        <f>I24*-1</f>
        <v>-950000</v>
      </c>
      <c r="C2" s="13"/>
      <c r="E2" s="10" t="s">
        <v>7</v>
      </c>
      <c r="F2" s="12">
        <v>700000</v>
      </c>
      <c r="H2" t="s">
        <v>8</v>
      </c>
      <c r="I2" s="3">
        <f>$I$19*$I$18</f>
        <v>4400</v>
      </c>
      <c r="J2" s="3">
        <f>$I$26+(($I$24*$I$23*$I$22)/12)</f>
        <v>2439.5833333333339</v>
      </c>
      <c r="K2" s="1">
        <f>I2-J2</f>
        <v>1960.4166666666661</v>
      </c>
    </row>
    <row r="3" spans="1:11" x14ac:dyDescent="0.25">
      <c r="A3">
        <v>1</v>
      </c>
      <c r="B3" s="8">
        <f>K14</f>
        <v>29562.499999999985</v>
      </c>
      <c r="C3" s="8">
        <f>(B3)/((1+$F$5)^A3)</f>
        <v>27889.150943396213</v>
      </c>
      <c r="E3" s="10" t="s">
        <v>9</v>
      </c>
      <c r="F3" s="11">
        <v>0.03</v>
      </c>
      <c r="H3" t="s">
        <v>10</v>
      </c>
      <c r="I3" s="3">
        <f>$I$19*$I$18</f>
        <v>4400</v>
      </c>
      <c r="J3" s="3">
        <f>$I$26+(($I$24*$I$23*$I$22)/12)</f>
        <v>2439.5833333333339</v>
      </c>
      <c r="K3" s="1">
        <f t="shared" ref="K3:K14" si="0">I3-J3</f>
        <v>1960.4166666666661</v>
      </c>
    </row>
    <row r="4" spans="1:11" x14ac:dyDescent="0.25">
      <c r="A4">
        <v>2</v>
      </c>
      <c r="B4" s="8">
        <f>B3*(1+$F$4)</f>
        <v>31040.624999999985</v>
      </c>
      <c r="C4" s="8">
        <f>(B4)/((1+$F$5)^A4)</f>
        <v>27626.045745816999</v>
      </c>
      <c r="E4" s="10" t="s">
        <v>11</v>
      </c>
      <c r="F4" s="11">
        <v>0.05</v>
      </c>
      <c r="H4" t="s">
        <v>12</v>
      </c>
      <c r="I4" s="3">
        <f>$I$19*$I$18</f>
        <v>4400</v>
      </c>
      <c r="J4" s="3">
        <f>$I$26+(($I$24*$I$23*$I$22)/12)</f>
        <v>2439.5833333333339</v>
      </c>
      <c r="K4" s="1">
        <f t="shared" si="0"/>
        <v>1960.4166666666661</v>
      </c>
    </row>
    <row r="5" spans="1:11" x14ac:dyDescent="0.25">
      <c r="A5">
        <v>3</v>
      </c>
      <c r="B5" s="8">
        <f t="shared" ref="B5:B62" si="1">B4*(1+$F$4)</f>
        <v>32592.656249999985</v>
      </c>
      <c r="C5" s="8">
        <f t="shared" ref="C5:C62" si="2">(B5)/((1+$F$5)^A5)</f>
        <v>27365.422672743251</v>
      </c>
      <c r="E5" s="10" t="s">
        <v>30</v>
      </c>
      <c r="F5" s="14">
        <v>0.06</v>
      </c>
      <c r="H5" t="s">
        <v>13</v>
      </c>
      <c r="I5" s="3">
        <f>$I$19*$I$18</f>
        <v>4400</v>
      </c>
      <c r="J5" s="3">
        <f>$I$26+(($I$24*$I$23*$I$22)/12)</f>
        <v>2439.5833333333339</v>
      </c>
      <c r="K5" s="1">
        <f t="shared" si="0"/>
        <v>1960.4166666666661</v>
      </c>
    </row>
    <row r="6" spans="1:11" x14ac:dyDescent="0.25">
      <c r="A6">
        <v>4</v>
      </c>
      <c r="B6" s="8">
        <f t="shared" si="1"/>
        <v>34222.289062499985</v>
      </c>
      <c r="C6" s="8">
        <f t="shared" si="2"/>
        <v>27107.258307906053</v>
      </c>
      <c r="E6" s="2"/>
      <c r="F6" s="5"/>
      <c r="H6" t="s">
        <v>14</v>
      </c>
      <c r="I6" s="3">
        <f>$I$19*$I$18</f>
        <v>4400</v>
      </c>
      <c r="J6" s="3">
        <f>$I$26+(($I$24*$I$23*$I$22)/12)</f>
        <v>2439.5833333333339</v>
      </c>
      <c r="K6" s="1">
        <f t="shared" si="0"/>
        <v>1960.4166666666661</v>
      </c>
    </row>
    <row r="7" spans="1:11" x14ac:dyDescent="0.25">
      <c r="A7">
        <v>5</v>
      </c>
      <c r="B7" s="8">
        <f t="shared" si="1"/>
        <v>35933.403515624988</v>
      </c>
      <c r="C7" s="8">
        <f t="shared" si="2"/>
        <v>26851.529455944674</v>
      </c>
      <c r="E7" s="2"/>
      <c r="F7" s="4"/>
      <c r="H7" t="s">
        <v>15</v>
      </c>
      <c r="I7" s="3">
        <f>$I$20*4.25</f>
        <v>7012.5</v>
      </c>
      <c r="J7" s="3">
        <f>$I$26+(($I$24*$I$23*$I$22)/12)+$I$25</f>
        <v>3039.5833333333339</v>
      </c>
      <c r="K7" s="1">
        <f t="shared" si="0"/>
        <v>3972.9166666666661</v>
      </c>
    </row>
    <row r="8" spans="1:11" ht="15.75" thickBot="1" x14ac:dyDescent="0.3">
      <c r="A8">
        <v>6</v>
      </c>
      <c r="B8" s="8">
        <f t="shared" si="1"/>
        <v>37730.073691406236</v>
      </c>
      <c r="C8" s="8">
        <f t="shared" si="2"/>
        <v>26598.213140322554</v>
      </c>
      <c r="H8" t="s">
        <v>16</v>
      </c>
      <c r="I8" s="3">
        <f>$I$20*4.25</f>
        <v>7012.5</v>
      </c>
      <c r="J8" s="3">
        <f>$I$26+(($I$24*$I$23*$I$22)/12)+$I$25</f>
        <v>3039.5833333333339</v>
      </c>
      <c r="K8" s="1">
        <f t="shared" si="0"/>
        <v>3972.9166666666661</v>
      </c>
    </row>
    <row r="9" spans="1:11" ht="30.75" thickBot="1" x14ac:dyDescent="0.3">
      <c r="A9">
        <v>7</v>
      </c>
      <c r="B9" s="8">
        <f t="shared" si="1"/>
        <v>39616.577375976551</v>
      </c>
      <c r="C9" s="8">
        <f t="shared" si="2"/>
        <v>26347.286601262902</v>
      </c>
      <c r="E9" s="9" t="s">
        <v>17</v>
      </c>
      <c r="F9" s="18">
        <f>SUM(C3:C63)</f>
        <v>1403763.5955037849</v>
      </c>
      <c r="H9" t="s">
        <v>18</v>
      </c>
      <c r="I9" s="3">
        <f>$I$20*4.25</f>
        <v>7012.5</v>
      </c>
      <c r="J9" s="3">
        <f>$I$26+(($I$24*$I$23*$I$22)/12)+$I$25</f>
        <v>3039.5833333333339</v>
      </c>
      <c r="K9" s="1">
        <f t="shared" si="0"/>
        <v>3972.9166666666661</v>
      </c>
    </row>
    <row r="10" spans="1:11" ht="15.75" thickBot="1" x14ac:dyDescent="0.3">
      <c r="A10">
        <v>8</v>
      </c>
      <c r="B10" s="8">
        <f t="shared" si="1"/>
        <v>41597.406244775382</v>
      </c>
      <c r="C10" s="8">
        <f t="shared" si="2"/>
        <v>26098.727293703825</v>
      </c>
      <c r="H10" t="s">
        <v>19</v>
      </c>
      <c r="I10" s="3">
        <f>$I$19*$I$18</f>
        <v>4400</v>
      </c>
      <c r="J10" s="3">
        <f>$I$26+(($I$24*$I$23*$I$22)/12)</f>
        <v>2439.5833333333339</v>
      </c>
      <c r="K10" s="1">
        <f t="shared" si="0"/>
        <v>1960.4166666666661</v>
      </c>
    </row>
    <row r="11" spans="1:11" x14ac:dyDescent="0.25">
      <c r="A11">
        <v>9</v>
      </c>
      <c r="B11" s="8">
        <f t="shared" si="1"/>
        <v>43677.276557014156</v>
      </c>
      <c r="C11" s="8">
        <f t="shared" si="2"/>
        <v>25852.512885272659</v>
      </c>
      <c r="E11" s="25" t="s">
        <v>37</v>
      </c>
      <c r="H11" t="s">
        <v>20</v>
      </c>
      <c r="I11" s="3">
        <f>$I$19*$I$18</f>
        <v>4400</v>
      </c>
      <c r="J11" s="3">
        <f>$I$26+(($I$24*$I$23*$I$22)/12)</f>
        <v>2439.5833333333339</v>
      </c>
      <c r="K11" s="1">
        <f t="shared" si="0"/>
        <v>1960.4166666666661</v>
      </c>
    </row>
    <row r="12" spans="1:11" x14ac:dyDescent="0.25">
      <c r="A12">
        <v>10</v>
      </c>
      <c r="B12" s="8">
        <f t="shared" si="1"/>
        <v>45861.14038486487</v>
      </c>
      <c r="C12" s="8">
        <f t="shared" si="2"/>
        <v>25608.621254279522</v>
      </c>
      <c r="E12" s="24" t="s">
        <v>35</v>
      </c>
      <c r="H12" t="s">
        <v>21</v>
      </c>
      <c r="I12" s="3">
        <f>$I$19*$I$18</f>
        <v>4400</v>
      </c>
      <c r="J12" s="3">
        <f>$I$26+(($I$24*$I$23*$I$22)/12)</f>
        <v>2439.5833333333339</v>
      </c>
      <c r="K12" s="1">
        <f t="shared" si="0"/>
        <v>1960.4166666666661</v>
      </c>
    </row>
    <row r="13" spans="1:11" ht="15.75" thickBot="1" x14ac:dyDescent="0.3">
      <c r="A13">
        <v>11</v>
      </c>
      <c r="B13" s="8">
        <f t="shared" si="1"/>
        <v>48154.197404108112</v>
      </c>
      <c r="C13" s="8">
        <f t="shared" si="2"/>
        <v>25367.030487729709</v>
      </c>
      <c r="E13" s="20">
        <f>NPV(F5,B2:B63)</f>
        <v>428078.86368281627</v>
      </c>
      <c r="H13" t="s">
        <v>22</v>
      </c>
      <c r="I13" s="3">
        <f>$I$19*$I$18</f>
        <v>4400</v>
      </c>
      <c r="J13" s="3">
        <f>$I$26+(($I$24*$I$23*$I$22)/12)</f>
        <v>2439.5833333333339</v>
      </c>
      <c r="K13" s="1">
        <f t="shared" si="0"/>
        <v>1960.4166666666661</v>
      </c>
    </row>
    <row r="14" spans="1:11" ht="15.75" thickBot="1" x14ac:dyDescent="0.3">
      <c r="A14">
        <v>12</v>
      </c>
      <c r="B14" s="8">
        <f t="shared" si="1"/>
        <v>50561.907274313518</v>
      </c>
      <c r="C14" s="8">
        <f t="shared" si="2"/>
        <v>25127.718879354899</v>
      </c>
      <c r="E14" s="21"/>
      <c r="H14" s="6" t="s">
        <v>23</v>
      </c>
      <c r="I14" s="17">
        <f>SUM(I2:I13)</f>
        <v>60637.5</v>
      </c>
      <c r="J14" s="17">
        <f>SUM(J2:J13)</f>
        <v>31075.000000000015</v>
      </c>
      <c r="K14" s="7">
        <f t="shared" si="0"/>
        <v>29562.499999999985</v>
      </c>
    </row>
    <row r="15" spans="1:11" x14ac:dyDescent="0.25">
      <c r="A15">
        <v>13</v>
      </c>
      <c r="B15" s="8">
        <f t="shared" si="1"/>
        <v>53090.002638029197</v>
      </c>
      <c r="C15" s="8">
        <f t="shared" si="2"/>
        <v>24890.664927662874</v>
      </c>
      <c r="E15" s="22" t="s">
        <v>36</v>
      </c>
      <c r="I15" s="1"/>
    </row>
    <row r="16" spans="1:11" x14ac:dyDescent="0.25">
      <c r="A16">
        <v>14</v>
      </c>
      <c r="B16" s="8">
        <f t="shared" si="1"/>
        <v>55744.502769930659</v>
      </c>
      <c r="C16" s="8">
        <f t="shared" si="2"/>
        <v>24655.847334005677</v>
      </c>
      <c r="E16" s="28">
        <f>IRR(B2:B63,0.1)</f>
        <v>7.4818475013900931E-2</v>
      </c>
      <c r="H16" s="27" t="s">
        <v>24</v>
      </c>
      <c r="I16" s="27"/>
    </row>
    <row r="17" spans="1:9" x14ac:dyDescent="0.25">
      <c r="A17">
        <v>15</v>
      </c>
      <c r="B17" s="8">
        <f t="shared" si="1"/>
        <v>58531.727908427194</v>
      </c>
      <c r="C17" s="8">
        <f t="shared" si="2"/>
        <v>24423.245000665996</v>
      </c>
      <c r="E17" s="21"/>
      <c r="H17" s="10" t="s">
        <v>31</v>
      </c>
      <c r="I17" s="11">
        <v>0.6</v>
      </c>
    </row>
    <row r="18" spans="1:9" x14ac:dyDescent="0.25">
      <c r="A18">
        <v>16</v>
      </c>
      <c r="B18" s="8">
        <f t="shared" si="1"/>
        <v>61458.314303848558</v>
      </c>
      <c r="C18" s="8">
        <f t="shared" si="2"/>
        <v>24192.837028961607</v>
      </c>
      <c r="E18" s="26" t="s">
        <v>38</v>
      </c>
      <c r="H18" s="10" t="s">
        <v>25</v>
      </c>
      <c r="I18" s="12">
        <v>1100</v>
      </c>
    </row>
    <row r="19" spans="1:9" x14ac:dyDescent="0.25">
      <c r="A19">
        <v>17</v>
      </c>
      <c r="B19" s="8">
        <f t="shared" si="1"/>
        <v>64531.230019040988</v>
      </c>
      <c r="C19" s="8">
        <f t="shared" si="2"/>
        <v>23964.602717367627</v>
      </c>
      <c r="E19" s="26"/>
      <c r="H19" s="10" t="s">
        <v>26</v>
      </c>
      <c r="I19" s="10">
        <v>4</v>
      </c>
    </row>
    <row r="20" spans="1:9" x14ac:dyDescent="0.25">
      <c r="A20">
        <v>18</v>
      </c>
      <c r="B20" s="8">
        <f t="shared" si="1"/>
        <v>67757.791519993043</v>
      </c>
      <c r="C20" s="8">
        <f t="shared" si="2"/>
        <v>23738.521559656616</v>
      </c>
      <c r="E20" s="26"/>
      <c r="H20" s="10" t="s">
        <v>32</v>
      </c>
      <c r="I20" s="12">
        <v>1650</v>
      </c>
    </row>
    <row r="21" spans="1:9" x14ac:dyDescent="0.25">
      <c r="A21">
        <v>19</v>
      </c>
      <c r="B21" s="8">
        <f t="shared" si="1"/>
        <v>71145.681095992695</v>
      </c>
      <c r="C21" s="8">
        <f t="shared" si="2"/>
        <v>23514.573243056078</v>
      </c>
      <c r="E21" s="26" t="s">
        <v>39</v>
      </c>
      <c r="H21" s="13"/>
      <c r="I21" s="13"/>
    </row>
    <row r="22" spans="1:9" x14ac:dyDescent="0.25">
      <c r="A22">
        <v>20</v>
      </c>
      <c r="B22" s="8">
        <f t="shared" si="1"/>
        <v>74702.965150792326</v>
      </c>
      <c r="C22" s="8">
        <f t="shared" si="2"/>
        <v>23292.737646423473</v>
      </c>
      <c r="E22" s="26"/>
      <c r="H22" s="10" t="s">
        <v>27</v>
      </c>
      <c r="I22" s="14">
        <v>3.5000000000000003E-2</v>
      </c>
    </row>
    <row r="23" spans="1:9" x14ac:dyDescent="0.25">
      <c r="A23">
        <v>21</v>
      </c>
      <c r="B23" s="8">
        <f t="shared" si="1"/>
        <v>78438.113408331948</v>
      </c>
      <c r="C23" s="8">
        <f t="shared" si="2"/>
        <v>23072.994838438342</v>
      </c>
      <c r="E23" s="21"/>
      <c r="H23" s="10" t="s">
        <v>28</v>
      </c>
      <c r="I23" s="11">
        <v>0.7</v>
      </c>
    </row>
    <row r="24" spans="1:9" ht="15.75" thickBot="1" x14ac:dyDescent="0.3">
      <c r="A24">
        <v>22</v>
      </c>
      <c r="B24" s="8">
        <f t="shared" si="1"/>
        <v>82360.019078748548</v>
      </c>
      <c r="C24" s="8">
        <f t="shared" si="2"/>
        <v>22855.325075811565</v>
      </c>
      <c r="E24" s="23"/>
      <c r="H24" s="10" t="s">
        <v>29</v>
      </c>
      <c r="I24" s="15">
        <v>950000</v>
      </c>
    </row>
    <row r="25" spans="1:9" x14ac:dyDescent="0.25">
      <c r="A25">
        <v>23</v>
      </c>
      <c r="B25" s="8">
        <f t="shared" si="1"/>
        <v>86478.020032685978</v>
      </c>
      <c r="C25" s="8">
        <f t="shared" si="2"/>
        <v>22639.708801511453</v>
      </c>
      <c r="H25" s="10" t="s">
        <v>33</v>
      </c>
      <c r="I25" s="10">
        <v>600</v>
      </c>
    </row>
    <row r="26" spans="1:9" x14ac:dyDescent="0.25">
      <c r="A26">
        <v>24</v>
      </c>
      <c r="B26" s="8">
        <f t="shared" si="1"/>
        <v>90801.921034320287</v>
      </c>
      <c r="C26" s="8">
        <f t="shared" si="2"/>
        <v>22426.126643006635</v>
      </c>
      <c r="H26" s="10" t="s">
        <v>34</v>
      </c>
      <c r="I26" s="10">
        <v>500</v>
      </c>
    </row>
    <row r="27" spans="1:9" x14ac:dyDescent="0.25">
      <c r="A27">
        <v>25</v>
      </c>
      <c r="B27" s="8">
        <f t="shared" si="1"/>
        <v>95342.0170860363</v>
      </c>
      <c r="C27" s="8">
        <f t="shared" si="2"/>
        <v>22214.559410525439</v>
      </c>
    </row>
    <row r="28" spans="1:9" x14ac:dyDescent="0.25">
      <c r="A28">
        <v>26</v>
      </c>
      <c r="B28" s="8">
        <f t="shared" si="1"/>
        <v>100109.11794033812</v>
      </c>
      <c r="C28" s="8">
        <f t="shared" si="2"/>
        <v>22004.988095331806</v>
      </c>
    </row>
    <row r="29" spans="1:9" x14ac:dyDescent="0.25">
      <c r="A29">
        <v>27</v>
      </c>
      <c r="B29" s="8">
        <f t="shared" si="1"/>
        <v>105114.57383735504</v>
      </c>
      <c r="C29" s="8">
        <f t="shared" si="2"/>
        <v>21797.393868017352</v>
      </c>
    </row>
    <row r="30" spans="1:9" x14ac:dyDescent="0.25">
      <c r="A30">
        <v>28</v>
      </c>
      <c r="B30" s="8">
        <f t="shared" si="1"/>
        <v>110370.3025292228</v>
      </c>
      <c r="C30" s="8">
        <f t="shared" si="2"/>
        <v>21591.758076809641</v>
      </c>
    </row>
    <row r="31" spans="1:9" x14ac:dyDescent="0.25">
      <c r="A31">
        <v>29</v>
      </c>
      <c r="B31" s="8">
        <f t="shared" si="1"/>
        <v>115888.81765568395</v>
      </c>
      <c r="C31" s="8">
        <f t="shared" si="2"/>
        <v>21388.062245896341</v>
      </c>
    </row>
    <row r="32" spans="1:9" x14ac:dyDescent="0.25">
      <c r="A32">
        <v>30</v>
      </c>
      <c r="B32" s="8">
        <f t="shared" si="1"/>
        <v>121683.25853846814</v>
      </c>
      <c r="C32" s="8">
        <f t="shared" si="2"/>
        <v>21186.288073765245</v>
      </c>
    </row>
    <row r="33" spans="1:3" x14ac:dyDescent="0.25">
      <c r="A33">
        <v>31</v>
      </c>
      <c r="B33" s="8">
        <f t="shared" si="1"/>
        <v>127767.42146539156</v>
      </c>
      <c r="C33" s="8">
        <f t="shared" si="2"/>
        <v>20986.417431559908</v>
      </c>
    </row>
    <row r="34" spans="1:3" x14ac:dyDescent="0.25">
      <c r="A34">
        <v>32</v>
      </c>
      <c r="B34" s="8">
        <f t="shared" si="1"/>
        <v>134155.79253866113</v>
      </c>
      <c r="C34" s="8">
        <f t="shared" si="2"/>
        <v>20788.432361450858</v>
      </c>
    </row>
    <row r="35" spans="1:3" x14ac:dyDescent="0.25">
      <c r="A35">
        <v>33</v>
      </c>
      <c r="B35" s="8">
        <f t="shared" si="1"/>
        <v>140863.58216559418</v>
      </c>
      <c r="C35" s="8">
        <f t="shared" si="2"/>
        <v>20592.315075022074</v>
      </c>
    </row>
    <row r="36" spans="1:3" x14ac:dyDescent="0.25">
      <c r="A36">
        <v>34</v>
      </c>
      <c r="B36" s="8">
        <f t="shared" si="1"/>
        <v>147906.76127387391</v>
      </c>
      <c r="C36" s="8">
        <f t="shared" si="2"/>
        <v>20398.047951672808</v>
      </c>
    </row>
    <row r="37" spans="1:3" x14ac:dyDescent="0.25">
      <c r="A37">
        <v>35</v>
      </c>
      <c r="B37" s="8">
        <f t="shared" si="1"/>
        <v>155302.0993375676</v>
      </c>
      <c r="C37" s="8">
        <f t="shared" si="2"/>
        <v>20205.613537034384</v>
      </c>
    </row>
    <row r="38" spans="1:3" x14ac:dyDescent="0.25">
      <c r="A38">
        <v>36</v>
      </c>
      <c r="B38" s="8">
        <f t="shared" si="1"/>
        <v>163067.204304446</v>
      </c>
      <c r="C38" s="8">
        <f t="shared" si="2"/>
        <v>20014.994541401986</v>
      </c>
    </row>
    <row r="39" spans="1:3" x14ac:dyDescent="0.25">
      <c r="A39">
        <v>37</v>
      </c>
      <c r="B39" s="8">
        <f t="shared" si="1"/>
        <v>171220.56451966832</v>
      </c>
      <c r="C39" s="8">
        <f t="shared" si="2"/>
        <v>19826.173838181214</v>
      </c>
    </row>
    <row r="40" spans="1:3" x14ac:dyDescent="0.25">
      <c r="A40">
        <v>38</v>
      </c>
      <c r="B40" s="8">
        <f t="shared" si="1"/>
        <v>179781.59274565175</v>
      </c>
      <c r="C40" s="8">
        <f t="shared" si="2"/>
        <v>19639.134462349313</v>
      </c>
    </row>
    <row r="41" spans="1:3" x14ac:dyDescent="0.25">
      <c r="A41">
        <v>39</v>
      </c>
      <c r="B41" s="8">
        <f t="shared" si="1"/>
        <v>188770.67238293434</v>
      </c>
      <c r="C41" s="8">
        <f t="shared" si="2"/>
        <v>19453.859608930921</v>
      </c>
    </row>
    <row r="42" spans="1:3" x14ac:dyDescent="0.25">
      <c r="A42">
        <v>40</v>
      </c>
      <c r="B42" s="8">
        <f t="shared" si="1"/>
        <v>198209.20600208107</v>
      </c>
      <c r="C42" s="8">
        <f t="shared" si="2"/>
        <v>19270.332631488182</v>
      </c>
    </row>
    <row r="43" spans="1:3" x14ac:dyDescent="0.25">
      <c r="A43">
        <v>41</v>
      </c>
      <c r="B43" s="8">
        <f t="shared" si="1"/>
        <v>208119.66630218513</v>
      </c>
      <c r="C43" s="8">
        <f t="shared" si="2"/>
        <v>19088.537040625088</v>
      </c>
    </row>
    <row r="44" spans="1:3" x14ac:dyDescent="0.25">
      <c r="A44">
        <v>42</v>
      </c>
      <c r="B44" s="8">
        <f t="shared" si="1"/>
        <v>218525.6496172944</v>
      </c>
      <c r="C44" s="8">
        <f t="shared" si="2"/>
        <v>18908.456502505978</v>
      </c>
    </row>
    <row r="45" spans="1:3" x14ac:dyDescent="0.25">
      <c r="A45">
        <v>43</v>
      </c>
      <c r="B45" s="8">
        <f t="shared" si="1"/>
        <v>229451.93209815913</v>
      </c>
      <c r="C45" s="8">
        <f t="shared" si="2"/>
        <v>18730.074837387998</v>
      </c>
    </row>
    <row r="46" spans="1:3" x14ac:dyDescent="0.25">
      <c r="A46">
        <v>44</v>
      </c>
      <c r="B46" s="8">
        <f t="shared" si="1"/>
        <v>240924.5287030671</v>
      </c>
      <c r="C46" s="8">
        <f t="shared" si="2"/>
        <v>18553.376018167353</v>
      </c>
    </row>
    <row r="47" spans="1:3" x14ac:dyDescent="0.25">
      <c r="A47">
        <v>45</v>
      </c>
      <c r="B47" s="8">
        <f t="shared" si="1"/>
        <v>252970.75513822047</v>
      </c>
      <c r="C47" s="8">
        <f t="shared" si="2"/>
        <v>18378.344168939362</v>
      </c>
    </row>
    <row r="48" spans="1:3" x14ac:dyDescent="0.25">
      <c r="A48">
        <v>46</v>
      </c>
      <c r="B48" s="8">
        <f t="shared" si="1"/>
        <v>265619.29289513151</v>
      </c>
      <c r="C48" s="8">
        <f t="shared" si="2"/>
        <v>18204.963563572011</v>
      </c>
    </row>
    <row r="49" spans="1:3" x14ac:dyDescent="0.25">
      <c r="A49">
        <v>47</v>
      </c>
      <c r="B49" s="8">
        <f t="shared" si="1"/>
        <v>278900.25753988809</v>
      </c>
      <c r="C49" s="8">
        <f t="shared" si="2"/>
        <v>18033.218624293026</v>
      </c>
    </row>
    <row r="50" spans="1:3" x14ac:dyDescent="0.25">
      <c r="A50">
        <v>48</v>
      </c>
      <c r="B50" s="8">
        <f t="shared" si="1"/>
        <v>292845.27041688253</v>
      </c>
      <c r="C50" s="8">
        <f t="shared" si="2"/>
        <v>17863.093920290266</v>
      </c>
    </row>
    <row r="51" spans="1:3" x14ac:dyDescent="0.25">
      <c r="A51">
        <v>49</v>
      </c>
      <c r="B51" s="8">
        <f t="shared" si="1"/>
        <v>307487.53393772669</v>
      </c>
      <c r="C51" s="8">
        <f t="shared" si="2"/>
        <v>17694.574166325263</v>
      </c>
    </row>
    <row r="52" spans="1:3" x14ac:dyDescent="0.25">
      <c r="A52">
        <v>50</v>
      </c>
      <c r="B52" s="8">
        <f t="shared" si="1"/>
        <v>322861.91063461301</v>
      </c>
      <c r="C52" s="8">
        <f t="shared" si="2"/>
        <v>17527.644221359933</v>
      </c>
    </row>
    <row r="53" spans="1:3" x14ac:dyDescent="0.25">
      <c r="A53">
        <v>51</v>
      </c>
      <c r="B53" s="8">
        <f t="shared" si="1"/>
        <v>339005.00616634369</v>
      </c>
      <c r="C53" s="8">
        <f t="shared" si="2"/>
        <v>17362.289087196157</v>
      </c>
    </row>
    <row r="54" spans="1:3" x14ac:dyDescent="0.25">
      <c r="A54">
        <v>52</v>
      </c>
      <c r="B54" s="8">
        <f t="shared" si="1"/>
        <v>355955.25647466088</v>
      </c>
      <c r="C54" s="8">
        <f t="shared" si="2"/>
        <v>17198.493907128268</v>
      </c>
    </row>
    <row r="55" spans="1:3" x14ac:dyDescent="0.25">
      <c r="A55">
        <v>53</v>
      </c>
      <c r="B55" s="8">
        <f t="shared" si="1"/>
        <v>373753.01929839392</v>
      </c>
      <c r="C55" s="8">
        <f t="shared" si="2"/>
        <v>17036.243964608188</v>
      </c>
    </row>
    <row r="56" spans="1:3" x14ac:dyDescent="0.25">
      <c r="A56">
        <v>54</v>
      </c>
      <c r="B56" s="8">
        <f t="shared" si="1"/>
        <v>392440.67026331363</v>
      </c>
      <c r="C56" s="8">
        <f t="shared" si="2"/>
        <v>16875.524681923205</v>
      </c>
    </row>
    <row r="57" spans="1:3" x14ac:dyDescent="0.25">
      <c r="A57">
        <v>55</v>
      </c>
      <c r="B57" s="8">
        <f t="shared" si="1"/>
        <v>412062.70377647935</v>
      </c>
      <c r="C57" s="8">
        <f t="shared" si="2"/>
        <v>16716.321618886192</v>
      </c>
    </row>
    <row r="58" spans="1:3" x14ac:dyDescent="0.25">
      <c r="A58">
        <v>56</v>
      </c>
      <c r="B58" s="8">
        <f t="shared" si="1"/>
        <v>432665.83896530332</v>
      </c>
      <c r="C58" s="8">
        <f t="shared" si="2"/>
        <v>16558.620471538212</v>
      </c>
    </row>
    <row r="59" spans="1:3" x14ac:dyDescent="0.25">
      <c r="A59">
        <v>57</v>
      </c>
      <c r="B59" s="8">
        <f t="shared" si="1"/>
        <v>454299.13091356849</v>
      </c>
      <c r="C59" s="8">
        <f t="shared" si="2"/>
        <v>16402.407070863323</v>
      </c>
    </row>
    <row r="60" spans="1:3" x14ac:dyDescent="0.25">
      <c r="A60">
        <v>58</v>
      </c>
      <c r="B60" s="8">
        <f t="shared" si="1"/>
        <v>477014.08745924692</v>
      </c>
      <c r="C60" s="8">
        <f t="shared" si="2"/>
        <v>16247.667381515557</v>
      </c>
    </row>
    <row r="61" spans="1:3" x14ac:dyDescent="0.25">
      <c r="A61">
        <v>59</v>
      </c>
      <c r="B61" s="8">
        <f t="shared" si="1"/>
        <v>500864.79183220927</v>
      </c>
      <c r="C61" s="8">
        <f t="shared" si="2"/>
        <v>16094.387500557859</v>
      </c>
    </row>
    <row r="62" spans="1:3" x14ac:dyDescent="0.25">
      <c r="A62">
        <v>60</v>
      </c>
      <c r="B62" s="8">
        <f t="shared" si="1"/>
        <v>525908.03142381972</v>
      </c>
      <c r="C62" s="8">
        <f t="shared" si="2"/>
        <v>15942.553656212975</v>
      </c>
    </row>
    <row r="63" spans="1:3" x14ac:dyDescent="0.25">
      <c r="A63">
        <v>61</v>
      </c>
      <c r="B63" s="3">
        <f>-1*FV(F3,61,0,F2,0)</f>
        <v>4247845.838016971</v>
      </c>
      <c r="C63" s="1">
        <f>(B63)/((1+$F$5)^A63)</f>
        <v>121481.72940615007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2023-07-26T14:56:10Z</dcterms:modified>
</cp:coreProperties>
</file>