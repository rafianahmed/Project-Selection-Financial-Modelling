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rni\Desktop\Excel Corp Fin\Exercise Files\"/>
    </mc:Choice>
  </mc:AlternateContent>
  <xr:revisionPtr revIDLastSave="0" documentId="8_{97823A3B-EDAC-43A4-9FFD-E5C66155FE8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h2" sheetId="4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C3" i="4"/>
  <c r="B4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F9" i="4"/>
  <c r="C2" i="4"/>
  <c r="B2" i="4"/>
  <c r="J8" i="4"/>
  <c r="J9" i="4"/>
  <c r="J7" i="4"/>
  <c r="I8" i="4"/>
  <c r="I9" i="4"/>
  <c r="I7" i="4"/>
  <c r="I11" i="4"/>
  <c r="J11" i="4"/>
  <c r="I12" i="4"/>
  <c r="J12" i="4"/>
  <c r="I13" i="4"/>
  <c r="J13" i="4"/>
  <c r="J10" i="4"/>
  <c r="I10" i="4"/>
  <c r="I3" i="4"/>
  <c r="J3" i="4"/>
  <c r="I4" i="4"/>
  <c r="J4" i="4"/>
  <c r="I5" i="4"/>
  <c r="J5" i="4"/>
  <c r="I6" i="4"/>
  <c r="J6" i="4"/>
  <c r="J2" i="4"/>
  <c r="I2" i="4"/>
  <c r="I14" i="4"/>
  <c r="J14" i="4"/>
  <c r="K14" i="4"/>
  <c r="K2" i="4"/>
  <c r="K3" i="4"/>
  <c r="K4" i="4"/>
  <c r="K5" i="4"/>
  <c r="K6" i="4"/>
  <c r="K7" i="4"/>
  <c r="K8" i="4"/>
  <c r="K9" i="4"/>
  <c r="K10" i="4"/>
  <c r="K11" i="4"/>
  <c r="K12" i="4"/>
  <c r="K13" i="4"/>
</calcChain>
</file>

<file path=xl/sharedStrings.xml><?xml version="1.0" encoding="utf-8"?>
<sst xmlns="http://schemas.openxmlformats.org/spreadsheetml/2006/main" count="36" uniqueCount="35">
  <si>
    <t>Year</t>
  </si>
  <si>
    <t>Cash Flow</t>
  </si>
  <si>
    <t>Discounted Value</t>
  </si>
  <si>
    <t>Assumptions</t>
  </si>
  <si>
    <t>Month</t>
  </si>
  <si>
    <t>Revenues</t>
  </si>
  <si>
    <t>Costs</t>
  </si>
  <si>
    <t>Land Value</t>
  </si>
  <si>
    <t>January</t>
  </si>
  <si>
    <t>Land Appreciation</t>
  </si>
  <si>
    <t>February</t>
  </si>
  <si>
    <t>Rental Rate Increase</t>
  </si>
  <si>
    <t>March</t>
  </si>
  <si>
    <t>April</t>
  </si>
  <si>
    <t>May</t>
  </si>
  <si>
    <t>June</t>
  </si>
  <si>
    <t>July</t>
  </si>
  <si>
    <t>Value of Property/Sum of Discounted Cash Flows</t>
  </si>
  <si>
    <t>August</t>
  </si>
  <si>
    <t>September</t>
  </si>
  <si>
    <t>October</t>
  </si>
  <si>
    <t>November</t>
  </si>
  <si>
    <t>December</t>
  </si>
  <si>
    <t>Year Total</t>
  </si>
  <si>
    <t>ASSUMPTIONS</t>
  </si>
  <si>
    <t>Student Rent</t>
  </si>
  <si>
    <t>Bedrooms</t>
  </si>
  <si>
    <t>Property Tax Rate</t>
  </si>
  <si>
    <t>Assessed Value Discount</t>
  </si>
  <si>
    <t>Market Value</t>
  </si>
  <si>
    <t>Discount Rate</t>
  </si>
  <si>
    <t>Occupancy Rate</t>
  </si>
  <si>
    <t>Summer Weekend Rent</t>
  </si>
  <si>
    <t>Utilities/month</t>
  </si>
  <si>
    <t>Upgrades/Maintenance (per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</si>
</sst>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Helv"/>
    </font>
    <font>
      <sz val="10"/>
      <name val="Helv"/>
    </font>
    <font>
      <sz val="9"/>
      <name val="Helv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mediumGray">
        <fgColor indexed="22"/>
        <bgColor indexed="22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3" fontId="2" fillId="0" borderId="0">
      <protection locked="0"/>
    </xf>
    <xf numFmtId="43" fontId="1" fillId="0" borderId="0" applyFont="0" applyFill="0" applyBorder="0" applyAlignment="0" applyProtection="0"/>
    <xf numFmtId="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3" fillId="0" borderId="0" applyProtection="0"/>
    <xf numFmtId="0" fontId="4" fillId="2" borderId="0" applyNumberFormat="0" applyFont="0" applyBorder="0" applyAlignment="0" applyProtection="0"/>
    <xf numFmtId="0" fontId="1" fillId="0" borderId="0"/>
  </cellStyleXfs>
  <cellXfs count="19">
    <xf numFmtId="0" fontId="0" fillId="0" borderId="0" xfId="0"/>
    <xf numFmtId="8" fontId="0" fillId="0" borderId="0" xfId="0" applyNumberFormat="1"/>
    <xf numFmtId="0" fontId="6" fillId="0" borderId="0" xfId="0" applyFont="1"/>
    <xf numFmtId="8" fontId="7" fillId="0" borderId="0" xfId="0" applyNumberFormat="1" applyFont="1"/>
    <xf numFmtId="9" fontId="6" fillId="0" borderId="0" xfId="0" applyNumberFormat="1" applyFont="1"/>
    <xf numFmtId="10" fontId="6" fillId="0" borderId="0" xfId="0" applyNumberFormat="1" applyFont="1"/>
    <xf numFmtId="8" fontId="7" fillId="0" borderId="1" xfId="0" applyNumberFormat="1" applyFont="1" applyBorder="1"/>
    <xf numFmtId="0" fontId="0" fillId="0" borderId="2" xfId="0" applyBorder="1"/>
    <xf numFmtId="8" fontId="0" fillId="0" borderId="1" xfId="0" applyNumberFormat="1" applyBorder="1"/>
    <xf numFmtId="0" fontId="9" fillId="0" borderId="2" xfId="0" applyFont="1" applyBorder="1" applyAlignment="1">
      <alignment wrapText="1"/>
    </xf>
    <xf numFmtId="0" fontId="10" fillId="0" borderId="0" xfId="0" applyFont="1"/>
    <xf numFmtId="9" fontId="10" fillId="0" borderId="0" xfId="0" applyNumberFormat="1" applyFont="1"/>
    <xf numFmtId="8" fontId="10" fillId="0" borderId="0" xfId="0" applyNumberFormat="1" applyFont="1"/>
    <xf numFmtId="0" fontId="5" fillId="0" borderId="0" xfId="0" applyFont="1"/>
    <xf numFmtId="10" fontId="10" fillId="0" borderId="0" xfId="0" applyNumberFormat="1" applyFont="1"/>
    <xf numFmtId="8" fontId="11" fillId="0" borderId="0" xfId="0" applyNumberFormat="1" applyFont="1"/>
    <xf numFmtId="0" fontId="12" fillId="0" borderId="0" xfId="0" applyFont="1"/>
    <xf numFmtId="8" fontId="13" fillId="0" borderId="3" xfId="0" applyNumberFormat="1" applyFont="1" applyBorder="1"/>
    <xf numFmtId="0" fontId="8" fillId="0" borderId="0" xfId="0" applyFont="1"/>
  </cellXfs>
  <cellStyles count="10">
    <cellStyle name="Bold" xfId="1" xr:uid="{00000000-0005-0000-0000-000000000000}"/>
    <cellStyle name="Comma 2" xfId="2" xr:uid="{00000000-0005-0000-0000-000001000000}"/>
    <cellStyle name="Comma1" xfId="3" xr:uid="{00000000-0005-0000-0000-000002000000}"/>
    <cellStyle name="Currency 2" xfId="4" xr:uid="{00000000-0005-0000-0000-000003000000}"/>
    <cellStyle name="Normal" xfId="0" builtinId="0"/>
    <cellStyle name="Normal 2" xfId="5" xr:uid="{00000000-0005-0000-0000-000005000000}"/>
    <cellStyle name="Percent 2" xfId="6" xr:uid="{00000000-0005-0000-0000-000006000000}"/>
    <cellStyle name="Percent1" xfId="7" xr:uid="{00000000-0005-0000-0000-000007000000}"/>
    <cellStyle name="Shade" xfId="8" xr:uid="{00000000-0005-0000-0000-000008000000}"/>
    <cellStyle name="Style 1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workbookViewId="0">
      <selection activeCell="F13" sqref="F13"/>
    </sheetView>
  </sheetViews>
  <sheetFormatPr defaultRowHeight="15" x14ac:dyDescent="0.25"/>
  <cols>
    <col min="2" max="2" width="14.28515625" bestFit="1" customWidth="1"/>
    <col min="3" max="3" width="16.7109375" bestFit="1" customWidth="1"/>
    <col min="5" max="5" width="24.7109375" customWidth="1"/>
    <col min="6" max="6" width="13.7109375" bestFit="1" customWidth="1"/>
    <col min="8" max="8" width="30.5703125" bestFit="1" customWidth="1"/>
    <col min="9" max="9" width="13.7109375" bestFit="1" customWidth="1"/>
    <col min="10" max="11" width="11" bestFit="1" customWidth="1"/>
  </cols>
  <sheetData>
    <row r="1" spans="1:11" s="13" customFormat="1" x14ac:dyDescent="0.25">
      <c r="A1" s="13" t="s">
        <v>0</v>
      </c>
      <c r="B1" s="13" t="s">
        <v>1</v>
      </c>
      <c r="C1" s="13" t="s">
        <v>2</v>
      </c>
      <c r="E1" s="13" t="s">
        <v>3</v>
      </c>
      <c r="H1" s="16" t="s">
        <v>4</v>
      </c>
      <c r="I1" s="16" t="s">
        <v>5</v>
      </c>
      <c r="J1" s="16" t="s">
        <v>6</v>
      </c>
      <c r="K1" s="16" t="s">
        <v>1</v>
      </c>
    </row>
    <row r="2" spans="1:11" x14ac:dyDescent="0.25">
      <c r="A2">
        <v>1</v>
      </c>
      <c r="B2" s="3">
        <f>K14</f>
        <v>22824.999999999989</v>
      </c>
      <c r="C2" s="3">
        <f>(B2)/((1+$F$5)^A2)</f>
        <v>21533.018867924518</v>
      </c>
      <c r="E2" s="10" t="s">
        <v>7</v>
      </c>
      <c r="F2" s="12">
        <v>700000</v>
      </c>
      <c r="H2" t="s">
        <v>8</v>
      </c>
      <c r="I2" s="3">
        <f>$I$19*$I$18</f>
        <v>4000</v>
      </c>
      <c r="J2" s="3">
        <f>$I$26+(($I$24*$I$23*$I$22)/12)</f>
        <v>2541.666666666667</v>
      </c>
      <c r="K2" s="1">
        <f>I2-J2</f>
        <v>1458.333333333333</v>
      </c>
    </row>
    <row r="3" spans="1:11" x14ac:dyDescent="0.25">
      <c r="A3">
        <v>2</v>
      </c>
      <c r="B3" s="3">
        <f>B2*(1+$F$4)</f>
        <v>23966.249999999989</v>
      </c>
      <c r="C3" s="3">
        <f>(B3)/((1+$F$5)^A3)</f>
        <v>21329.877180491265</v>
      </c>
      <c r="E3" s="10" t="s">
        <v>9</v>
      </c>
      <c r="F3" s="11">
        <v>0.03</v>
      </c>
      <c r="H3" t="s">
        <v>10</v>
      </c>
      <c r="I3" s="3">
        <f>$I$19*$I$18</f>
        <v>4000</v>
      </c>
      <c r="J3" s="3">
        <f>$I$26+(($I$24*$I$23*$I$22)/12)</f>
        <v>2541.666666666667</v>
      </c>
      <c r="K3" s="1">
        <f t="shared" ref="K3:K14" si="0">I3-J3</f>
        <v>1458.333333333333</v>
      </c>
    </row>
    <row r="4" spans="1:11" x14ac:dyDescent="0.25">
      <c r="A4">
        <v>3</v>
      </c>
      <c r="B4" s="3">
        <f t="shared" ref="B4:B31" si="1">B3*(1+$F$4)</f>
        <v>25164.562499999989</v>
      </c>
      <c r="C4" s="3">
        <f t="shared" ref="C4:C31" si="2">(B4)/((1+$F$5)^A4)</f>
        <v>21128.651924071535</v>
      </c>
      <c r="E4" s="10" t="s">
        <v>11</v>
      </c>
      <c r="F4" s="11">
        <v>0.05</v>
      </c>
      <c r="H4" t="s">
        <v>12</v>
      </c>
      <c r="I4" s="3">
        <f>$I$19*$I$18</f>
        <v>4000</v>
      </c>
      <c r="J4" s="3">
        <f>$I$26+(($I$24*$I$23*$I$22)/12)</f>
        <v>2541.666666666667</v>
      </c>
      <c r="K4" s="1">
        <f t="shared" si="0"/>
        <v>1458.333333333333</v>
      </c>
    </row>
    <row r="5" spans="1:11" x14ac:dyDescent="0.25">
      <c r="A5">
        <v>4</v>
      </c>
      <c r="B5" s="3">
        <f t="shared" si="1"/>
        <v>26422.790624999991</v>
      </c>
      <c r="C5" s="3">
        <f t="shared" si="2"/>
        <v>20929.325019127464</v>
      </c>
      <c r="E5" s="10" t="s">
        <v>30</v>
      </c>
      <c r="F5" s="14">
        <v>0.06</v>
      </c>
      <c r="H5" t="s">
        <v>13</v>
      </c>
      <c r="I5" s="3">
        <f>$I$19*$I$18</f>
        <v>4000</v>
      </c>
      <c r="J5" s="3">
        <f>$I$26+(($I$24*$I$23*$I$22)/12)</f>
        <v>2541.666666666667</v>
      </c>
      <c r="K5" s="1">
        <f t="shared" si="0"/>
        <v>1458.333333333333</v>
      </c>
    </row>
    <row r="6" spans="1:11" x14ac:dyDescent="0.25">
      <c r="A6">
        <v>5</v>
      </c>
      <c r="B6" s="3">
        <f t="shared" si="1"/>
        <v>27743.93015624999</v>
      </c>
      <c r="C6" s="3">
        <f t="shared" si="2"/>
        <v>20731.878556682863</v>
      </c>
      <c r="E6" s="2"/>
      <c r="F6" s="5"/>
      <c r="H6" t="s">
        <v>14</v>
      </c>
      <c r="I6" s="3">
        <f>$I$19*$I$18</f>
        <v>4000</v>
      </c>
      <c r="J6" s="3">
        <f>$I$26+(($I$24*$I$23*$I$22)/12)</f>
        <v>2541.666666666667</v>
      </c>
      <c r="K6" s="1">
        <f t="shared" si="0"/>
        <v>1458.333333333333</v>
      </c>
    </row>
    <row r="7" spans="1:11" x14ac:dyDescent="0.25">
      <c r="A7">
        <v>6</v>
      </c>
      <c r="B7" s="3">
        <f t="shared" si="1"/>
        <v>29131.126664062489</v>
      </c>
      <c r="C7" s="3">
        <f t="shared" si="2"/>
        <v>20536.294796714155</v>
      </c>
      <c r="E7" s="2"/>
      <c r="F7" s="4"/>
      <c r="H7" t="s">
        <v>15</v>
      </c>
      <c r="I7" s="3">
        <f>$I$20*4.25</f>
        <v>6375</v>
      </c>
      <c r="J7" s="3">
        <f>$I$26+(($I$24*$I$23*$I$22)/12)+$I$25</f>
        <v>3141.666666666667</v>
      </c>
      <c r="K7" s="1">
        <f t="shared" si="0"/>
        <v>3233.333333333333</v>
      </c>
    </row>
    <row r="8" spans="1:11" ht="15.75" thickBot="1" x14ac:dyDescent="0.3">
      <c r="A8">
        <v>7</v>
      </c>
      <c r="B8" s="3">
        <f t="shared" si="1"/>
        <v>30587.682997265616</v>
      </c>
      <c r="C8" s="3">
        <f t="shared" si="2"/>
        <v>20342.556166556475</v>
      </c>
      <c r="H8" t="s">
        <v>16</v>
      </c>
      <c r="I8" s="3">
        <f>$I$20*4.25</f>
        <v>6375</v>
      </c>
      <c r="J8" s="3">
        <f>$I$26+(($I$24*$I$23*$I$22)/12)+$I$25</f>
        <v>3141.666666666667</v>
      </c>
      <c r="K8" s="1">
        <f t="shared" si="0"/>
        <v>3233.333333333333</v>
      </c>
    </row>
    <row r="9" spans="1:11" ht="30.75" thickBot="1" x14ac:dyDescent="0.3">
      <c r="A9">
        <v>8</v>
      </c>
      <c r="B9" s="3">
        <f t="shared" si="1"/>
        <v>32117.067147128899</v>
      </c>
      <c r="C9" s="3">
        <f t="shared" si="2"/>
        <v>20150.645259324814</v>
      </c>
      <c r="E9" s="9" t="s">
        <v>17</v>
      </c>
      <c r="F9" s="6">
        <f>SUM(C2:C62)</f>
        <v>1111522.6120675798</v>
      </c>
      <c r="H9" t="s">
        <v>18</v>
      </c>
      <c r="I9" s="3">
        <f>$I$20*4.25</f>
        <v>6375</v>
      </c>
      <c r="J9" s="3">
        <f>$I$26+(($I$24*$I$23*$I$22)/12)+$I$25</f>
        <v>3141.666666666667</v>
      </c>
      <c r="K9" s="1">
        <f t="shared" si="0"/>
        <v>3233.333333333333</v>
      </c>
    </row>
    <row r="10" spans="1:11" x14ac:dyDescent="0.25">
      <c r="A10">
        <v>9</v>
      </c>
      <c r="B10" s="3">
        <f t="shared" si="1"/>
        <v>33722.920504485344</v>
      </c>
      <c r="C10" s="3">
        <f t="shared" si="2"/>
        <v>19960.54483235005</v>
      </c>
      <c r="H10" t="s">
        <v>19</v>
      </c>
      <c r="I10" s="3">
        <f>$I$19*$I$18</f>
        <v>4000</v>
      </c>
      <c r="J10" s="3">
        <f>$I$26+(($I$24*$I$23*$I$22)/12)</f>
        <v>2541.666666666667</v>
      </c>
      <c r="K10" s="1">
        <f t="shared" si="0"/>
        <v>1458.333333333333</v>
      </c>
    </row>
    <row r="11" spans="1:11" x14ac:dyDescent="0.25">
      <c r="A11">
        <v>10</v>
      </c>
      <c r="B11" s="3">
        <f t="shared" si="1"/>
        <v>35409.066529709613</v>
      </c>
      <c r="C11" s="3">
        <f t="shared" si="2"/>
        <v>19772.237805629768</v>
      </c>
      <c r="H11" t="s">
        <v>20</v>
      </c>
      <c r="I11" s="3">
        <f>$I$19*$I$18</f>
        <v>4000</v>
      </c>
      <c r="J11" s="3">
        <f>$I$26+(($I$24*$I$23*$I$22)/12)</f>
        <v>2541.666666666667</v>
      </c>
      <c r="K11" s="1">
        <f t="shared" si="0"/>
        <v>1458.333333333333</v>
      </c>
    </row>
    <row r="12" spans="1:11" x14ac:dyDescent="0.25">
      <c r="A12">
        <v>11</v>
      </c>
      <c r="B12" s="3">
        <f t="shared" si="1"/>
        <v>37179.519856195097</v>
      </c>
      <c r="C12" s="3">
        <f t="shared" si="2"/>
        <v>19585.707260293635</v>
      </c>
      <c r="H12" t="s">
        <v>21</v>
      </c>
      <c r="I12" s="3">
        <f>$I$19*$I$18</f>
        <v>4000</v>
      </c>
      <c r="J12" s="3">
        <f>$I$26+(($I$24*$I$23*$I$22)/12)</f>
        <v>2541.666666666667</v>
      </c>
      <c r="K12" s="1">
        <f t="shared" si="0"/>
        <v>1458.333333333333</v>
      </c>
    </row>
    <row r="13" spans="1:11" ht="15.75" thickBot="1" x14ac:dyDescent="0.3">
      <c r="A13">
        <v>12</v>
      </c>
      <c r="B13" s="3">
        <f t="shared" si="1"/>
        <v>39038.495849004852</v>
      </c>
      <c r="C13" s="3">
        <f t="shared" si="2"/>
        <v>19400.936437083317</v>
      </c>
      <c r="H13" t="s">
        <v>22</v>
      </c>
      <c r="I13" s="3">
        <f>$I$19*$I$18</f>
        <v>4000</v>
      </c>
      <c r="J13" s="3">
        <f>$I$26+(($I$24*$I$23*$I$22)/12)</f>
        <v>2541.666666666667</v>
      </c>
      <c r="K13" s="1">
        <f t="shared" si="0"/>
        <v>1458.333333333333</v>
      </c>
    </row>
    <row r="14" spans="1:11" ht="15.75" thickBot="1" x14ac:dyDescent="0.3">
      <c r="A14">
        <v>13</v>
      </c>
      <c r="B14" s="3">
        <f t="shared" si="1"/>
        <v>40990.420641455094</v>
      </c>
      <c r="C14" s="3">
        <f t="shared" si="2"/>
        <v>19217.908734846678</v>
      </c>
      <c r="H14" s="7" t="s">
        <v>23</v>
      </c>
      <c r="I14" s="17">
        <f>SUM(I2:I13)</f>
        <v>55125</v>
      </c>
      <c r="J14" s="17">
        <f>SUM(J2:J13)</f>
        <v>32300.000000000011</v>
      </c>
      <c r="K14" s="8">
        <f t="shared" si="0"/>
        <v>22824.999999999989</v>
      </c>
    </row>
    <row r="15" spans="1:11" x14ac:dyDescent="0.25">
      <c r="A15">
        <v>14</v>
      </c>
      <c r="B15" s="3">
        <f t="shared" si="1"/>
        <v>43039.94167352785</v>
      </c>
      <c r="C15" s="3">
        <f t="shared" si="2"/>
        <v>19036.607709046242</v>
      </c>
      <c r="I15" s="1"/>
    </row>
    <row r="16" spans="1:11" x14ac:dyDescent="0.25">
      <c r="A16">
        <v>15</v>
      </c>
      <c r="B16" s="3">
        <f t="shared" si="1"/>
        <v>45191.938757204247</v>
      </c>
      <c r="C16" s="3">
        <f t="shared" si="2"/>
        <v>18857.01707028165</v>
      </c>
      <c r="H16" s="18" t="s">
        <v>24</v>
      </c>
      <c r="I16" s="18"/>
    </row>
    <row r="17" spans="1:9" x14ac:dyDescent="0.25">
      <c r="A17">
        <v>16</v>
      </c>
      <c r="B17" s="3">
        <f t="shared" si="1"/>
        <v>47451.535695064464</v>
      </c>
      <c r="C17" s="3">
        <f t="shared" si="2"/>
        <v>18679.120682826171</v>
      </c>
      <c r="H17" s="10" t="s">
        <v>31</v>
      </c>
      <c r="I17" s="11">
        <v>0.6</v>
      </c>
    </row>
    <row r="18" spans="1:9" x14ac:dyDescent="0.25">
      <c r="A18">
        <v>17</v>
      </c>
      <c r="B18" s="3">
        <f t="shared" si="1"/>
        <v>49824.11247981769</v>
      </c>
      <c r="C18" s="3">
        <f t="shared" si="2"/>
        <v>18502.902563176864</v>
      </c>
      <c r="H18" s="10" t="s">
        <v>25</v>
      </c>
      <c r="I18" s="12">
        <v>1000</v>
      </c>
    </row>
    <row r="19" spans="1:9" x14ac:dyDescent="0.25">
      <c r="A19">
        <v>18</v>
      </c>
      <c r="B19" s="3">
        <f t="shared" si="1"/>
        <v>52315.318103808575</v>
      </c>
      <c r="C19" s="3">
        <f t="shared" si="2"/>
        <v>18328.346878618591</v>
      </c>
      <c r="H19" s="10" t="s">
        <v>26</v>
      </c>
      <c r="I19" s="10">
        <v>4</v>
      </c>
    </row>
    <row r="20" spans="1:9" x14ac:dyDescent="0.25">
      <c r="A20">
        <v>19</v>
      </c>
      <c r="B20" s="3">
        <f t="shared" si="1"/>
        <v>54931.084008999009</v>
      </c>
      <c r="C20" s="3">
        <f t="shared" si="2"/>
        <v>18155.437945801437</v>
      </c>
      <c r="H20" s="10" t="s">
        <v>32</v>
      </c>
      <c r="I20" s="12">
        <v>1500</v>
      </c>
    </row>
    <row r="21" spans="1:9" x14ac:dyDescent="0.25">
      <c r="A21">
        <v>20</v>
      </c>
      <c r="B21" s="3">
        <f t="shared" si="1"/>
        <v>57677.63820944896</v>
      </c>
      <c r="C21" s="3">
        <f t="shared" si="2"/>
        <v>17984.160229331614</v>
      </c>
      <c r="H21" s="13"/>
      <c r="I21" s="13"/>
    </row>
    <row r="22" spans="1:9" x14ac:dyDescent="0.25">
      <c r="A22">
        <v>21</v>
      </c>
      <c r="B22" s="3">
        <f t="shared" si="1"/>
        <v>60561.520119921413</v>
      </c>
      <c r="C22" s="3">
        <f t="shared" si="2"/>
        <v>17814.498340375652</v>
      </c>
      <c r="H22" s="10" t="s">
        <v>27</v>
      </c>
      <c r="I22" s="14">
        <v>3.5000000000000003E-2</v>
      </c>
    </row>
    <row r="23" spans="1:9" x14ac:dyDescent="0.25">
      <c r="A23">
        <v>22</v>
      </c>
      <c r="B23" s="3">
        <f t="shared" si="1"/>
        <v>63589.596125917487</v>
      </c>
      <c r="C23" s="3">
        <f t="shared" si="2"/>
        <v>17646.43703527777</v>
      </c>
      <c r="H23" s="10" t="s">
        <v>28</v>
      </c>
      <c r="I23" s="11">
        <v>0.7</v>
      </c>
    </row>
    <row r="24" spans="1:9" x14ac:dyDescent="0.25">
      <c r="A24">
        <v>23</v>
      </c>
      <c r="B24" s="3">
        <f t="shared" si="1"/>
        <v>66769.075932213367</v>
      </c>
      <c r="C24" s="3">
        <f t="shared" si="2"/>
        <v>17479.96121419024</v>
      </c>
      <c r="H24" s="10" t="s">
        <v>29</v>
      </c>
      <c r="I24" s="15">
        <v>1000000</v>
      </c>
    </row>
    <row r="25" spans="1:9" x14ac:dyDescent="0.25">
      <c r="A25">
        <v>24</v>
      </c>
      <c r="B25" s="3">
        <f t="shared" si="1"/>
        <v>70107.52972882404</v>
      </c>
      <c r="C25" s="3">
        <f t="shared" si="2"/>
        <v>17315.055919716753</v>
      </c>
      <c r="H25" s="10" t="s">
        <v>33</v>
      </c>
      <c r="I25" s="10">
        <v>600</v>
      </c>
    </row>
    <row r="26" spans="1:9" x14ac:dyDescent="0.25">
      <c r="A26">
        <v>25</v>
      </c>
      <c r="B26" s="3">
        <f t="shared" si="1"/>
        <v>73612.906215265248</v>
      </c>
      <c r="C26" s="3">
        <f t="shared" si="2"/>
        <v>17151.70633556848</v>
      </c>
      <c r="H26" s="10" t="s">
        <v>34</v>
      </c>
      <c r="I26" s="10">
        <v>500</v>
      </c>
    </row>
    <row r="27" spans="1:9" x14ac:dyDescent="0.25">
      <c r="A27">
        <v>26</v>
      </c>
      <c r="B27" s="3">
        <f t="shared" si="1"/>
        <v>77293.551526028517</v>
      </c>
      <c r="C27" s="3">
        <f t="shared" si="2"/>
        <v>16989.89778523293</v>
      </c>
    </row>
    <row r="28" spans="1:9" x14ac:dyDescent="0.25">
      <c r="A28">
        <v>27</v>
      </c>
      <c r="B28" s="3">
        <f t="shared" si="1"/>
        <v>81158.229102329948</v>
      </c>
      <c r="C28" s="3">
        <f t="shared" si="2"/>
        <v>16829.61573065526</v>
      </c>
    </row>
    <row r="29" spans="1:9" x14ac:dyDescent="0.25">
      <c r="A29">
        <v>28</v>
      </c>
      <c r="B29" s="3">
        <f t="shared" si="1"/>
        <v>85216.140557446444</v>
      </c>
      <c r="C29" s="3">
        <f t="shared" si="2"/>
        <v>16670.845770932097</v>
      </c>
    </row>
    <row r="30" spans="1:9" x14ac:dyDescent="0.25">
      <c r="A30">
        <v>29</v>
      </c>
      <c r="B30" s="3">
        <f t="shared" si="1"/>
        <v>89476.947585318776</v>
      </c>
      <c r="C30" s="3">
        <f t="shared" si="2"/>
        <v>16513.573641017643</v>
      </c>
    </row>
    <row r="31" spans="1:9" x14ac:dyDescent="0.25">
      <c r="A31">
        <v>30</v>
      </c>
      <c r="B31" s="3">
        <f t="shared" si="1"/>
        <v>93950.794964584726</v>
      </c>
      <c r="C31" s="3">
        <f t="shared" si="2"/>
        <v>16357.785210442005</v>
      </c>
    </row>
    <row r="32" spans="1:9" x14ac:dyDescent="0.25">
      <c r="A32">
        <v>31</v>
      </c>
      <c r="B32" s="3">
        <f t="shared" ref="B32:B61" si="3">B31*(1+$F$4)</f>
        <v>98648.334712813972</v>
      </c>
      <c r="C32" s="3">
        <f t="shared" ref="C32:C61" si="4">(B32)/((1+$F$5)^A32)</f>
        <v>16203.466482041607</v>
      </c>
    </row>
    <row r="33" spans="1:3" x14ac:dyDescent="0.25">
      <c r="A33">
        <v>32</v>
      </c>
      <c r="B33" s="3">
        <f t="shared" si="3"/>
        <v>103580.75144845467</v>
      </c>
      <c r="C33" s="3">
        <f t="shared" si="4"/>
        <v>16050.603590701596</v>
      </c>
    </row>
    <row r="34" spans="1:3" x14ac:dyDescent="0.25">
      <c r="A34">
        <v>33</v>
      </c>
      <c r="B34" s="3">
        <f t="shared" si="3"/>
        <v>108759.7890208774</v>
      </c>
      <c r="C34" s="3">
        <f t="shared" si="4"/>
        <v>15899.182802110072</v>
      </c>
    </row>
    <row r="35" spans="1:3" x14ac:dyDescent="0.25">
      <c r="A35">
        <v>34</v>
      </c>
      <c r="B35" s="3">
        <f t="shared" si="3"/>
        <v>114197.77847192128</v>
      </c>
      <c r="C35" s="3">
        <f t="shared" si="4"/>
        <v>15749.190511524126</v>
      </c>
    </row>
    <row r="36" spans="1:3" x14ac:dyDescent="0.25">
      <c r="A36">
        <v>35</v>
      </c>
      <c r="B36" s="3">
        <f t="shared" si="3"/>
        <v>119907.66739551735</v>
      </c>
      <c r="C36" s="3">
        <f t="shared" si="4"/>
        <v>15600.613242547481</v>
      </c>
    </row>
    <row r="37" spans="1:3" x14ac:dyDescent="0.25">
      <c r="A37">
        <v>36</v>
      </c>
      <c r="B37" s="3">
        <f t="shared" si="3"/>
        <v>125903.05076529321</v>
      </c>
      <c r="C37" s="3">
        <f t="shared" si="4"/>
        <v>15453.437645919676</v>
      </c>
    </row>
    <row r="38" spans="1:3" x14ac:dyDescent="0.25">
      <c r="A38">
        <v>37</v>
      </c>
      <c r="B38" s="3">
        <f t="shared" si="3"/>
        <v>132198.20330355788</v>
      </c>
      <c r="C38" s="3">
        <f t="shared" si="4"/>
        <v>15307.65049831666</v>
      </c>
    </row>
    <row r="39" spans="1:3" x14ac:dyDescent="0.25">
      <c r="A39">
        <v>38</v>
      </c>
      <c r="B39" s="3">
        <f t="shared" si="3"/>
        <v>138808.11346873577</v>
      </c>
      <c r="C39" s="3">
        <f t="shared" si="4"/>
        <v>15163.238701162725</v>
      </c>
    </row>
    <row r="40" spans="1:3" x14ac:dyDescent="0.25">
      <c r="A40">
        <v>39</v>
      </c>
      <c r="B40" s="3">
        <f t="shared" si="3"/>
        <v>145748.51914217256</v>
      </c>
      <c r="C40" s="3">
        <f t="shared" si="4"/>
        <v>15020.189279453642</v>
      </c>
    </row>
    <row r="41" spans="1:3" x14ac:dyDescent="0.25">
      <c r="A41">
        <v>40</v>
      </c>
      <c r="B41" s="3">
        <f t="shared" si="3"/>
        <v>153035.94509928121</v>
      </c>
      <c r="C41" s="3">
        <f t="shared" si="4"/>
        <v>14878.489380590874</v>
      </c>
    </row>
    <row r="42" spans="1:3" x14ac:dyDescent="0.25">
      <c r="A42">
        <v>41</v>
      </c>
      <c r="B42" s="3">
        <f t="shared" si="3"/>
        <v>160687.74235424527</v>
      </c>
      <c r="C42" s="3">
        <f t="shared" si="4"/>
        <v>14738.126273226811</v>
      </c>
    </row>
    <row r="43" spans="1:3" x14ac:dyDescent="0.25">
      <c r="A43">
        <v>42</v>
      </c>
      <c r="B43" s="3">
        <f t="shared" si="3"/>
        <v>168722.12947195754</v>
      </c>
      <c r="C43" s="3">
        <f t="shared" si="4"/>
        <v>14599.087346120896</v>
      </c>
    </row>
    <row r="44" spans="1:3" x14ac:dyDescent="0.25">
      <c r="A44">
        <v>43</v>
      </c>
      <c r="B44" s="3">
        <f t="shared" si="3"/>
        <v>177158.23594555541</v>
      </c>
      <c r="C44" s="3">
        <f t="shared" si="4"/>
        <v>14461.360107006545</v>
      </c>
    </row>
    <row r="45" spans="1:3" x14ac:dyDescent="0.25">
      <c r="A45">
        <v>44</v>
      </c>
      <c r="B45" s="3">
        <f t="shared" si="3"/>
        <v>186016.14774283319</v>
      </c>
      <c r="C45" s="3">
        <f t="shared" si="4"/>
        <v>14324.932181468746</v>
      </c>
    </row>
    <row r="46" spans="1:3" x14ac:dyDescent="0.25">
      <c r="A46">
        <v>45</v>
      </c>
      <c r="B46" s="3">
        <f t="shared" si="3"/>
        <v>195316.95512997484</v>
      </c>
      <c r="C46" s="3">
        <f t="shared" si="4"/>
        <v>14189.791311832249</v>
      </c>
    </row>
    <row r="47" spans="1:3" x14ac:dyDescent="0.25">
      <c r="A47">
        <v>46</v>
      </c>
      <c r="B47" s="3">
        <f t="shared" si="3"/>
        <v>205082.8028864736</v>
      </c>
      <c r="C47" s="3">
        <f t="shared" si="4"/>
        <v>14055.925356060248</v>
      </c>
    </row>
    <row r="48" spans="1:3" x14ac:dyDescent="0.25">
      <c r="A48">
        <v>47</v>
      </c>
      <c r="B48" s="3">
        <f t="shared" si="3"/>
        <v>215336.94303079729</v>
      </c>
      <c r="C48" s="3">
        <f t="shared" si="4"/>
        <v>13923.32228666345</v>
      </c>
    </row>
    <row r="49" spans="1:3" x14ac:dyDescent="0.25">
      <c r="A49">
        <v>48</v>
      </c>
      <c r="B49" s="3">
        <f t="shared" si="3"/>
        <v>226103.79018233716</v>
      </c>
      <c r="C49" s="3">
        <f t="shared" si="4"/>
        <v>13791.970189619458</v>
      </c>
    </row>
    <row r="50" spans="1:3" x14ac:dyDescent="0.25">
      <c r="A50">
        <v>49</v>
      </c>
      <c r="B50" s="3">
        <f t="shared" si="3"/>
        <v>237408.97969145403</v>
      </c>
      <c r="C50" s="3">
        <f t="shared" si="4"/>
        <v>13661.857263302292</v>
      </c>
    </row>
    <row r="51" spans="1:3" x14ac:dyDescent="0.25">
      <c r="A51">
        <v>50</v>
      </c>
      <c r="B51" s="3">
        <f t="shared" si="3"/>
        <v>249279.42867602676</v>
      </c>
      <c r="C51" s="3">
        <f t="shared" si="4"/>
        <v>13532.971817422085</v>
      </c>
    </row>
    <row r="52" spans="1:3" x14ac:dyDescent="0.25">
      <c r="A52">
        <v>51</v>
      </c>
      <c r="B52" s="3">
        <f t="shared" si="3"/>
        <v>261743.4001098281</v>
      </c>
      <c r="C52" s="3">
        <f t="shared" si="4"/>
        <v>13405.302271974704</v>
      </c>
    </row>
    <row r="53" spans="1:3" x14ac:dyDescent="0.25">
      <c r="A53">
        <v>52</v>
      </c>
      <c r="B53" s="3">
        <f t="shared" si="3"/>
        <v>274830.57011531951</v>
      </c>
      <c r="C53" s="3">
        <f t="shared" si="4"/>
        <v>13278.837156201358</v>
      </c>
    </row>
    <row r="54" spans="1:3" x14ac:dyDescent="0.25">
      <c r="A54">
        <v>53</v>
      </c>
      <c r="B54" s="3">
        <f t="shared" si="3"/>
        <v>288572.09862108552</v>
      </c>
      <c r="C54" s="3">
        <f t="shared" si="4"/>
        <v>13153.565107557948</v>
      </c>
    </row>
    <row r="55" spans="1:3" x14ac:dyDescent="0.25">
      <c r="A55">
        <v>54</v>
      </c>
      <c r="B55" s="3">
        <f t="shared" si="3"/>
        <v>303000.70355213981</v>
      </c>
      <c r="C55" s="3">
        <f t="shared" si="4"/>
        <v>13029.474870694194</v>
      </c>
    </row>
    <row r="56" spans="1:3" x14ac:dyDescent="0.25">
      <c r="A56">
        <v>55</v>
      </c>
      <c r="B56" s="3">
        <f t="shared" si="3"/>
        <v>318150.73872974684</v>
      </c>
      <c r="C56" s="3">
        <f t="shared" si="4"/>
        <v>12906.555296442362</v>
      </c>
    </row>
    <row r="57" spans="1:3" x14ac:dyDescent="0.25">
      <c r="A57">
        <v>56</v>
      </c>
      <c r="B57" s="3">
        <f t="shared" si="3"/>
        <v>334058.2756662342</v>
      </c>
      <c r="C57" s="3">
        <f t="shared" si="4"/>
        <v>12784.795340815552</v>
      </c>
    </row>
    <row r="58" spans="1:3" x14ac:dyDescent="0.25">
      <c r="A58">
        <v>57</v>
      </c>
      <c r="B58" s="3">
        <f t="shared" si="3"/>
        <v>350761.18944954593</v>
      </c>
      <c r="C58" s="3">
        <f t="shared" si="4"/>
        <v>12664.184064015404</v>
      </c>
    </row>
    <row r="59" spans="1:3" x14ac:dyDescent="0.25">
      <c r="A59">
        <v>58</v>
      </c>
      <c r="B59" s="3">
        <f t="shared" si="3"/>
        <v>368299.24892202322</v>
      </c>
      <c r="C59" s="3">
        <f t="shared" si="4"/>
        <v>12544.710629449222</v>
      </c>
    </row>
    <row r="60" spans="1:3" x14ac:dyDescent="0.25">
      <c r="A60">
        <v>59</v>
      </c>
      <c r="B60" s="3">
        <f t="shared" si="3"/>
        <v>386714.21136812441</v>
      </c>
      <c r="C60" s="3">
        <f t="shared" si="4"/>
        <v>12426.364302756301</v>
      </c>
    </row>
    <row r="61" spans="1:3" x14ac:dyDescent="0.25">
      <c r="A61">
        <v>60</v>
      </c>
      <c r="B61" s="3">
        <f t="shared" si="3"/>
        <v>406049.92193653062</v>
      </c>
      <c r="C61" s="3">
        <f t="shared" si="4"/>
        <v>12309.134450843507</v>
      </c>
    </row>
    <row r="62" spans="1:3" x14ac:dyDescent="0.25">
      <c r="A62">
        <v>61</v>
      </c>
      <c r="B62" s="3">
        <f>-1*FV(F3,61,0,F2,0)</f>
        <v>4247845.838016971</v>
      </c>
      <c r="C62" s="3">
        <f>(B62)/((1+$F$5)^A62)</f>
        <v>121481.72940615007</v>
      </c>
    </row>
  </sheetData>
  <mergeCells count="1">
    <mergeCell ref="H16:I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Ch2</vt:lpstr>
    </vt:vector>
  </TitlesOfParts>
  <Company>Fairfield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McDonald, Michael</dc:creator>
  <cp:lastModifiedBy>Michael McDonald</cp:lastModifiedBy>
  <dcterms:created xsi:type="dcterms:W3CDTF">2018-03-13T17:59:50Z</dcterms:created>
  <dcterms:modified xsi:type="dcterms:W3CDTF">2023-07-26T14:26:31Z</dcterms:modified>
</cp:coreProperties>
</file>